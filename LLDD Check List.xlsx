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LLDD" sheetId="1" state="visible" r:id="rId1"/>
    <sheet xmlns:r="http://schemas.openxmlformats.org/officeDocument/2006/relationships" name="LLDD (R1)" sheetId="2" state="visible" r:id="rId2"/>
    <sheet xmlns:r="http://schemas.openxmlformats.org/officeDocument/2006/relationships" name="Status" sheetId="3" state="visible" r:id="rId3"/>
  </sheets>
  <definedNames>
    <definedName name="_xlnm._FilterDatabase" localSheetId="0" hidden="1">'LLDD'!$A$1:$Y$129</definedName>
    <definedName name="_xlnm._FilterDatabase" localSheetId="1" hidden="1">'LLDD (R1)'!$A$1:$Y$19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17">
    <font>
      <name val="Calibri"/>
      <family val="2"/>
      <color theme="1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Tahoma"/>
      <family val="2"/>
      <b val="1"/>
      <color theme="1"/>
      <sz val="10"/>
    </font>
    <font>
      <name val="Aptos Narrow"/>
      <charset val="1"/>
      <color rgb="FF000000"/>
      <sz val="11"/>
    </font>
    <font>
      <name val="Calibri"/>
      <family val="2"/>
      <color theme="10"/>
      <sz val="11"/>
      <u val="single"/>
      <scheme val="minor"/>
    </font>
    <font>
      <name val="Tahoma"/>
      <family val="2"/>
      <color theme="5" tint="-0.249977111117893"/>
      <sz val="10"/>
    </font>
    <font>
      <name val="Tahoma"/>
      <family val="2"/>
      <color rgb="FF00B050"/>
      <sz val="10"/>
    </font>
    <font>
      <name val="Tahoma"/>
      <color rgb="FF00B050"/>
      <sz val="10"/>
    </font>
    <font>
      <name val="Calibri"/>
      <family val="2"/>
      <color rgb="FF000000"/>
      <sz val="11"/>
      <scheme val="minor"/>
    </font>
    <font>
      <name val="Aptos Narrow"/>
      <family val="2"/>
      <color rgb="FF000000"/>
      <sz val="11"/>
      <scheme val="minor"/>
    </font>
    <font>
      <name val="Arial"/>
      <color rgb="FF242424"/>
      <sz val="11"/>
    </font>
    <font>
      <name val="Tahoma"/>
      <family val="2"/>
      <color rgb="FFFF0000"/>
      <sz val="10"/>
    </font>
    <font>
      <name val="Tahoma"/>
      <color theme="5" tint="-0.249977111117893"/>
      <sz val="10"/>
    </font>
    <font>
      <name val="Aptos Narrow"/>
      <charset val="1"/>
      <color rgb="FF242424"/>
      <sz val="11"/>
    </font>
    <font>
      <name val="Tahoma"/>
      <color rgb="FF000000"/>
      <sz val="10"/>
    </font>
    <font>
      <name val="Tahoma"/>
      <family val="2"/>
      <color theme="1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15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7" pivotButton="0" quotePrefix="0" xfId="0"/>
    <xf numFmtId="0" fontId="3" fillId="0" borderId="4" pivotButton="0" quotePrefix="0" xfId="0"/>
    <xf numFmtId="0" fontId="3" fillId="0" borderId="2" pivotButton="0" quotePrefix="0" xfId="0"/>
    <xf numFmtId="0" fontId="3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6" applyAlignment="1" pivotButton="0" quotePrefix="0" xfId="0">
      <alignment horizontal="left"/>
    </xf>
    <xf numFmtId="0" fontId="1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5" applyAlignment="1" pivotButton="0" quotePrefix="0" xfId="0">
      <alignment horizontal="left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5" fillId="0" borderId="1" applyAlignment="1" pivotButton="0" quotePrefix="0" xfId="1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1" fillId="0" borderId="8" pivotButton="0" quotePrefix="0" xfId="0"/>
    <xf numFmtId="0" fontId="0" fillId="0" borderId="8" applyAlignment="1" pivotButton="0" quotePrefix="0" xfId="0">
      <alignment horizontal="left"/>
    </xf>
    <xf numFmtId="0" fontId="1" fillId="0" borderId="9" pivotButton="0" quotePrefix="0" xfId="0"/>
    <xf numFmtId="0" fontId="1" fillId="0" borderId="8" applyAlignment="1" pivotButton="0" quotePrefix="0" xfId="0">
      <alignment vertical="center"/>
    </xf>
    <xf numFmtId="0" fontId="1" fillId="0" borderId="2" pivotButton="0" quotePrefix="0" xfId="0"/>
    <xf numFmtId="0" fontId="1" fillId="0" borderId="13" pivotButton="0" quotePrefix="0" xfId="0"/>
    <xf numFmtId="0" fontId="3" fillId="0" borderId="9" applyAlignment="1" pivotButton="0" quotePrefix="0" xfId="0">
      <alignment horizontal="left"/>
    </xf>
    <xf numFmtId="0" fontId="8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wrapText="1"/>
    </xf>
    <xf numFmtId="0" fontId="4" fillId="0" borderId="8" applyAlignment="1" pivotButton="0" quotePrefix="0" xfId="0">
      <alignment horizontal="center"/>
    </xf>
    <xf numFmtId="164" fontId="0" fillId="0" borderId="2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9" fontId="3" fillId="0" borderId="2" applyAlignment="1" pivotButton="0" quotePrefix="0" xfId="0">
      <alignment horizontal="center" vertical="center"/>
    </xf>
    <xf numFmtId="9" fontId="3" fillId="3" borderId="2" applyAlignment="1" pivotButton="0" quotePrefix="0" xfId="0">
      <alignment horizontal="center" vertical="center"/>
    </xf>
    <xf numFmtId="9" fontId="7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3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indent="1"/>
    </xf>
    <xf numFmtId="164" fontId="0" fillId="0" borderId="15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15" fontId="11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5" fontId="11" fillId="0" borderId="2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15" fontId="11" fillId="0" borderId="6" applyAlignment="1" pivotButton="0" quotePrefix="0" xfId="0">
      <alignment horizontal="center" vertical="center"/>
    </xf>
    <xf numFmtId="15" fontId="11" fillId="0" borderId="7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3" fillId="0" borderId="13" pivotButton="0" quotePrefix="0" xfId="0"/>
    <xf numFmtId="0" fontId="2" fillId="5" borderId="10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6" fillId="0" borderId="2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9" fontId="3" fillId="0" borderId="2" applyAlignment="1" pivotButton="0" quotePrefix="0" xfId="0">
      <alignment horizontal="center" vertical="top"/>
    </xf>
    <xf numFmtId="0" fontId="1" fillId="0" borderId="4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4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/>
    </xf>
    <xf numFmtId="0" fontId="12" fillId="0" borderId="2" applyAlignment="1" pivotButton="0" quotePrefix="0" xfId="0">
      <alignment horizontal="left" vertical="center" wrapText="1"/>
    </xf>
    <xf numFmtId="0" fontId="5" fillId="0" borderId="0" pivotButton="0" quotePrefix="0" xfId="1"/>
    <xf numFmtId="0" fontId="12" fillId="0" borderId="1" applyAlignment="1" pivotButton="0" quotePrefix="0" xfId="0">
      <alignment horizontal="left" vertical="top" wrapText="1"/>
    </xf>
    <xf numFmtId="0" fontId="1" fillId="5" borderId="9" applyAlignment="1" pivotButton="0" quotePrefix="0" xfId="0">
      <alignment vertical="center"/>
    </xf>
    <xf numFmtId="0" fontId="1" fillId="5" borderId="8" applyAlignment="1" pivotButton="0" quotePrefix="0" xfId="0">
      <alignment horizontal="left" indent="1"/>
    </xf>
    <xf numFmtId="0" fontId="1" fillId="5" borderId="8" pivotButton="0" quotePrefix="0" xfId="0"/>
    <xf numFmtId="0" fontId="2" fillId="5" borderId="8" pivotButton="0" quotePrefix="0" xfId="0"/>
    <xf numFmtId="0" fontId="12" fillId="5" borderId="8" pivotButton="0" quotePrefix="0" xfId="0"/>
    <xf numFmtId="0" fontId="12" fillId="0" borderId="1" applyAlignment="1" pivotButton="0" quotePrefix="0" xfId="0">
      <alignment horizontal="left" vertical="center" wrapText="1"/>
    </xf>
    <xf numFmtId="0" fontId="1" fillId="5" borderId="10" pivotButton="0" quotePrefix="0" xfId="0"/>
    <xf numFmtId="164" fontId="0" fillId="0" borderId="16" applyAlignment="1" pivotButton="0" quotePrefix="0" xfId="0">
      <alignment horizontal="center" vertical="center"/>
    </xf>
    <xf numFmtId="9" fontId="8" fillId="0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5" fillId="0" borderId="1" pivotButton="0" quotePrefix="1" xfId="0"/>
    <xf numFmtId="0" fontId="15" fillId="0" borderId="7" pivotButton="0" quotePrefix="1" xfId="0"/>
    <xf numFmtId="0" fontId="14" fillId="0" borderId="1" pivotButton="0" quotePrefix="1" xfId="0"/>
    <xf numFmtId="0" fontId="5" fillId="0" borderId="2" applyAlignment="1" pivotButton="0" quotePrefix="0" xfId="1">
      <alignment horizontal="center" vertical="center"/>
    </xf>
    <xf numFmtId="0" fontId="15" fillId="0" borderId="3" pivotButton="0" quotePrefix="1" xfId="0"/>
    <xf numFmtId="0" fontId="3" fillId="0" borderId="5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6" fillId="0" borderId="1" pivotButton="0" quotePrefix="1" xfId="0"/>
    <xf numFmtId="0" fontId="0" fillId="6" borderId="1" applyAlignment="1" pivotButton="0" quotePrefix="0" xfId="0">
      <alignment vertical="center"/>
    </xf>
    <xf numFmtId="0" fontId="5" fillId="0" borderId="6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4" applyAlignment="1" pivotButton="0" quotePrefix="0" xfId="0">
      <alignment horizontal="left" vertical="top"/>
    </xf>
    <xf numFmtId="0" fontId="3" fillId="0" borderId="10" applyAlignment="1" pivotButton="0" quotePrefix="0" xfId="0">
      <alignment horizontal="left" vertical="top"/>
    </xf>
    <xf numFmtId="0" fontId="3" fillId="0" borderId="6" applyAlignment="1" pivotButton="0" quotePrefix="0" xfId="0">
      <alignment horizontal="left"/>
    </xf>
    <xf numFmtId="0" fontId="3" fillId="0" borderId="9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4" borderId="2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</cellXfs>
  <cellStyles count="2">
    <cellStyle name="Normal" xfId="0" builtinId="0"/>
    <cellStyle name="Hyperlink" xfId="1" builtinId="8"/>
  </cellStyles>
  <dxfs count="620"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theme="9" tint="0.599993896298104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pallgroup.sharepoint.com/:x:/r/sites/MST-GO0666ITHW2025ReplaceSBPManagementSystem/Shared%20Documents/General/04-Analysis%20%26%20Design/LLDD/Non-Baseline/TSM_SRM_LLDD-Integration%20MQ-1.2.xlsx?d=w17f9b5b0f3fa47f488dfef62c2622fde&amp;csf=1&amp;web=1&amp;e=jVqXYw" TargetMode="External" Id="rId1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Core%20Design%20%26%20Share%20Library/MQ%20Connector_Consumer?csf=1&amp;web=1&amp;e=a1u6fs" TargetMode="External" Id="rId2"/><Relationship Type="http://schemas.openxmlformats.org/officeDocument/2006/relationships/hyperlink" Target="https://cpallgroup.sharepoint.com/:w:/r/sites/MST-GO0666ITHW2025ReplaceSBPManagementSystem/Shared%20Documents/General/04-Analysis%20%26%20Design/LLDD/Non-Baseline/General%20Upload%20Data%20Page/TSM-LLDD_SBP_General%20Upload%20Data%20Page.docx?d=wf66efd744d464ba5abdbafa23ab62d10&amp;csf=1&amp;web=1&amp;e=1NNuPZ" TargetMode="External" Id="rId3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Core%20Design%20%26%20Share%20Library/General%20Upload%20Data%20Page?csf=1&amp;web=1&amp;e=hCUuFx" TargetMode="External" Id="rId4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&#3626;&#3619;&#3657;&#3634;&#3591;&#3627;&#3609;&#3633;&#3591;&#3626;&#3639;&#3629;&#3616;&#3634;&#3588;&#3607;&#3633;&#3603;&#3601;&#3660;-1.0.docx?d=w17f9b5b0f3fa47f488dfef62c2622fde&amp;csf=1&amp;web=1&amp;e=jVqXYw" TargetMode="External" Id="rId5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&#3588;&#3657;&#3609;&#3627;&#3634;&#3586;&#3657;&#3629;&#3617;&#3641;&#3621;&#3648;&#3611;&#3657;&#3634;&#3627;&#3617;&#3634;&#3618;&#3649;&#3621;&#3632;&#3648;&#3585;&#3636;&#3604;&#3592;&#3619;&#3636;&#3591;?csf=1&amp;web=1&amp;e=a1u6fs" TargetMode="External" Id="rId6"/><Relationship Type="http://schemas.openxmlformats.org/officeDocument/2006/relationships/hyperlink" Target="https://cpallgroup.sharepoint.com/:w:/r/sites/MST-GO0666ITHW2025ReplaceSBPManagementSystem/Shared%20Documents/General/04-Analysis%20%26%20Design/LLDD/Non-Baseline/General%20CM%20Integration%20(CRUD%20CM)/TSM-LLDD_SBP_General%20CM%20Integration.docx?d=w99df9731f51640ba9d31dc2185368738&amp;csf=1&amp;web=1&amp;e=eTcQAn" TargetMode="External" Id="rId7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Core%20Design%20%26%20Share%20Library/General%20CM%20Integration%20(CRUD%20CM)?csf=1&amp;web=1&amp;e=NE5MIy" TargetMode="External" Id="rId8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Mall%20Portal/Authentication?d=w07e60afe4e2a402fb51dcd246ba054d8&amp;csf=1&amp;web=1&amp;e=r7EzJh" TargetMode="External" Id="rId9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Core%20Design%20%26%20Share%20Library/Workflow%20Engine?csf=1&amp;web=1&amp;e=tVTuiG" TargetMode="External" Id="rId10"/><Relationship Type="http://schemas.openxmlformats.org/officeDocument/2006/relationships/hyperlink" Target="https://cpallgroup.sharepoint.com/:w:/r/sites/MST-GO0666ITHW2025ReplaceSBPManagementSystem/Shared%20Documents/General/04-Analysis%20%26%20Design/LLDD/Non-Baseline/1.%20SBP%20Portal/TSM-TEM-LLDD_SBP_Web_General_1.0.docx?d=w356af126d7bb4c7dbbca75083eaa93a4&amp;csf=1&amp;web=1&amp;e=41x20T" TargetMode="External" Id="rId11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Mall%20Portal/SML?csf=1&amp;web=1&amp;e=O3XmpM" TargetMode="External" Id="rId12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Integration%20(STA)?d=w6cb141939547474f8b67245359532068&amp;csf=1&amp;web=1&amp;e=GJG62R" TargetMode="External" Id="rId13"/><Relationship Type="http://schemas.openxmlformats.org/officeDocument/2006/relationships/hyperlink" Target="https://cpallgroup.sharepoint.com/:w:/r/sites/MST-GO0666ITHW2025ReplaceSBPManagementSystem/Shared%20Documents/General/04-Analysis%20%26%20Design/LLDD/Non-Baseline/SBP%20Evalation/TSM-GO0666-LLDD-&#3648;&#3617;&#3609;&#3641;&#3588;&#3657;&#3609;&#3627;&#3634;&#3648;&#3611;&#3657;&#3634;&#3627;&#3617;&#3634;&#3618;&#3649;&#3621;&#3632;&#3648;&#3585;&#3636;&#3604;&#3592;&#3619;&#3636;&#3591;(FES)-1.0.docx?csf=1&amp;web=1&amp;e=Vp4Egl" TargetMode="External" Id="rId14"/><Relationship Type="http://schemas.openxmlformats.org/officeDocument/2006/relationships/hyperlink" Target="https://cpallgroup.sharepoint.com/:w:/r/sites/MST-GO0666ITHW2025ReplaceSBPManagementSystem/Shared%20Documents/General/04-Analysis%20%26%20Design/LLDD/Non-Baseline/1.%20SBP%20Portal/TSM-TEM-LLDD_SBP_MALL_Web-1.1.docx?d=wbeaf587feece47d29824c690e72e9ab7&amp;csf=1&amp;web=1&amp;e=DrS3Zm" TargetMode="External" Id="rId15"/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statement/TSM-LLDD_SBP_Statement-%232.docx?csf=1&amp;web=1&amp;e=dUTGLA" TargetMode="External" Id="rId16"/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statement/TSM-LLDD_SBP_Statement_%231.docx?csf=1&amp;web=1&amp;e=H9eLGl" TargetMode="External" Id="rId17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Mall%20Portal/SBPM?csf=1&amp;web=1&amp;e=zCr5ek" TargetMode="External" Id="rId18"/><Relationship Type="http://schemas.openxmlformats.org/officeDocument/2006/relationships/hyperlink" Target="https://cpallgroup.sharepoint.com/:f:/r/sites/MST-GO0666ITHW2025ReplaceSBPManagementSystem/Shared%20Documents/General/04-Analysis%20%26%20Design/LLDD/Non-Baseline/Integration/SBP?csf=1&amp;web=1&amp;e=XgWEbJ" TargetMode="External" Id="rId19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tore%20Partner%20Management?d=waee322d9d135490ab7ebf7b4bdb7e941&amp;csf=1&amp;web=1&amp;e=UCgDl6" TargetMode="External" Id="rId20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WFDSB/TSM-HRM-LLDD_WFDSB_OutboundSTA-1.0.docx?csf=1&amp;web=1&amp;e=f99Uwu" TargetMode="External" Id="rId21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tore%20Partner%20Management?d=wa5729b04b8f94e31bf787e2b8111e542&amp;csf=1&amp;web=1&amp;e=dByut4" TargetMode="External" Id="rId22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WFDSB/TSM-HRM-LLDD_WFDSB_ConfirmReport-1.0.docx?csf=1&amp;web=1&amp;e=f99Uwu" TargetMode="External" Id="rId23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Integration%20(SAP)?d=wa56e8942c78d4a0bbecc2a4bb996f083&amp;csf=1&amp;web=1&amp;e=rwjQmt" TargetMode="External" Id="rId24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tore%20Partner%20Management?csf=1&amp;web=1&amp;e=f99Uwu" TargetMode="External" Id="rId25"/><Relationship Type="http://schemas.openxmlformats.org/officeDocument/2006/relationships/hyperlink" Target="https://cpallgroup.sharepoint.com/:x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tore%20Partner%20Management/TSM-0666-LLDD%20%E0%B8%AB%E0%B8%99%E0%B9%89%E0%B8%B2%E0%B8%88%E0%B8%AD%E0%B8%A5%E0%B8%87%E0%B8%97%E0%B8%B0%E0%B9%80%E0%B8%9A%E0%B8%B5%E0%B8%A2%E0%B8%99%E0%B9%80%E0%B8%82%E0%B9%89%E0%B8%B2%E0%B9%83%E0%B8%8A%E0%B9%89%E0%B8%87%E0%B8%B2%E0%B8%99%20SBP.xlsx?d=w5716df277d484afe8d62f23c6aa0887c&amp;csf=1&amp;web=1&amp;e=oaLFbf" TargetMode="External" Id="rId26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tore%20Partner%20Management?csf=1&amp;web=1&amp;e=f99Uwu" TargetMode="External" Id="rId27"/><Relationship Type="http://schemas.openxmlformats.org/officeDocument/2006/relationships/hyperlink" Target="https://cpallgroup.sharepoint.com/:x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tore%20Partner%20Management/TSM-0666-LLDD%20%E0%B8%AB%E0%B8%99%E0%B9%89%E0%B8%B2%E0%B8%88%E0%B8%AD%E0%B8%95%E0%B8%B1%E0%B9%89%E0%B8%87%E0%B8%84%E0%B9%88%E0%B8%B2%E0%B8%A3%E0%B8%AB%E0%B8%B1%E0%B8%AA%E0%B8%9C%E0%B9%88%E0%B8%B2%E0%B8%99%E0%B9%80%E0%B8%82%E0%B9%89%E0%B8%B2%E0%B9%83%E0%B8%8A%E0%B9%89%E0%B8%87%E0%B8%B2%E0%B8%99.xlsx?d=w601e606dde694d8cb4aa5f5614ba30ab&amp;csf=1&amp;web=1&amp;e=oAs7ai" TargetMode="External" Id="rId28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tore%20Partner%20Management?csf=1&amp;web=1&amp;e=f99Uwu" TargetMode="External" Id="rId29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&#3649;&#3592;&#3657;&#3591;&#3612;&#3621;%20Division%20Admin-1.0.docx?d=w1bf7d6d785fa4e369abb5bdb7c0776db&amp;csf=1&amp;web=1&amp;e=VcuOLs" TargetMode="External" Id="rId30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csf=1&amp;web=1&amp;e=f99Uwu" TargetMode="External" Id="rId31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tore%20Partner%20Management?d=wcd366a14384e46e8bdb7eba16b81723d&amp;csf=1&amp;web=1&amp;e=Wjwqff" TargetMode="External" Id="rId32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&#3609;&#3635;&#3648;&#3586;&#3657;&#3634;&#3586;&#3657;&#3629;&#3617;&#3641;&#3621;?csf=1&amp;web=1&amp;e=f99Uwu" TargetMode="External" Id="rId33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EMLSB/TSM-HRM-LLDD_EMLSB_OutboubdGSD.docx?d=wed02dd3d369e4b5cae58ae79be90d937&amp;csf=1&amp;web=1&amp;e=LxTWm7" TargetMode="External" Id="rId34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35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36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37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38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39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40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41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42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43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44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45"/><Relationship Type="http://schemas.openxmlformats.org/officeDocument/2006/relationships/hyperlink" Target="https://cpallgroup.sharepoint.com/:f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Contract%20Management/LLDD-%E0%B8%95%E0%B9%88%E0%B8%AD%E0%B8%AA%E0%B8%B1%E0%B8%8D%E0%B8%8D%E0%B8%B2?csf=1&amp;web=1&amp;e=gqPV4y" TargetMode="External" Id="rId46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4%20%5BSBP%20Operating%20Management%20%E0%B8%9B%E0%B8%A3%E0%B8%B0%E0%B8%81%E0%B8%B1%E0%B8%99%E0%B8%A3%E0%B8%B2%E0%B8%A2%E0%B9%84%E0%B8%94%E0%B9%89,%20Contract%20Management%20(%E0%B8%A3%E0%B9%89%E0%B8%B2%E0%B8%99%E0%B8%9E%E0%B8%A3%E0%B9%89%E0%B8%AD%E0%B8%A1%E0%B9%82%E0%B8%AD%E0%B8%99)%5D/Contract%20Management%20(%E0%B8%A3%E0%B9%89%E0%B8%B2%E0%B8%99%E0%B8%9E%E0%B8%A3%E0%B9%89%E0%B8%AD%E0%B8%A1%E0%B9%82%E0%B8%AD%E0%B8%99)/TSM-0666-LLDD%20Job%20%E0%B8%99%E0%B8%B3%E0%B9%80%E0%B8%82%E0%B9%89%E0%B8%B2%E0%B8%82%E0%B9%89%E0%B8%AD%E0%B8%A1%E0%B8%B9%E0%B8%A5%E0%B8%95%E0%B8%B1%E0%B9%89%E0%B8%87%E0%B8%95%E0%B9%89%E0%B8%99%E0%B8%88%E0%B8%B2%E0%B8%81%20File%20%E0%B8%82%E0%B9%89%E0%B8%AD%E0%B8%A1%E0%B8%B9%E0%B8%A5-1.0.docx?d=w9dfbcf2797b64013acddce44edaffd71&amp;csf=1&amp;web=1&amp;e=KFkBJP" TargetMode="External" Id="rId47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4%20%5BSBP%20Operating%20Management%20%E0%B8%9B%E0%B8%A3%E0%B8%B0%E0%B8%81%E0%B8%B1%E0%B8%99%E0%B8%A3%E0%B8%B2%E0%B8%A2%E0%B9%84%E0%B8%94%E0%B9%89,%20Contract%20Management%20(%E0%B8%A3%E0%B9%89%E0%B8%B2%E0%B8%99%E0%B8%9E%E0%B8%A3%E0%B9%89%E0%B8%AD%E0%B8%A1%E0%B9%82%E0%B8%AD%E0%B8%99)%5D/Contract%20Management%20(%E0%B8%A3%E0%B9%89%E0%B8%B2%E0%B8%99%E0%B8%9E%E0%B8%A3%E0%B9%89%E0%B8%AD%E0%B8%A1%E0%B9%82%E0%B8%AD%E0%B8%99)/TSM-0666-LLDD%20Job%20%E0%B8%99%E0%B8%B3%E0%B9%80%E0%B8%82%E0%B9%89%E0%B8%B2%E0%B8%82%E0%B9%89%E0%B8%AD%E0%B8%A1%E0%B8%B9%E0%B8%A5%E0%B8%95%E0%B8%B1%E0%B9%89%E0%B8%87%E0%B8%95%E0%B9%89%E0%B8%99%E0%B8%9C%E0%B9%88%E0%B8%B2%E0%B8%99%20API-1.0.docx?d=w9bd0312bec56424b91d1bca0c77ac855&amp;csf=1&amp;web=1&amp;e=wic3g2" TargetMode="External" Id="rId48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4%20%5BSBP%20Operating%20Management%20%E0%B8%9B%E0%B8%A3%E0%B8%B0%E0%B8%81%E0%B8%B1%E0%B8%99%E0%B8%A3%E0%B8%B2%E0%B8%A2%E0%B9%84%E0%B8%94%E0%B9%89,%20Contract%20Management%20(%E0%B8%A3%E0%B9%89%E0%B8%B2%E0%B8%99%E0%B8%9E%E0%B8%A3%E0%B9%89%E0%B8%AD%E0%B8%A1%E0%B9%82%E0%B8%AD%E0%B8%99)%5D/Contract%20Management%20(%E0%B8%A3%E0%B9%89%E0%B8%B2%E0%B8%99%E0%B8%9E%E0%B8%A3%E0%B9%89%E0%B8%AD%E0%B8%A1%E0%B9%82%E0%B8%AD%E0%B8%99)/TSM-0666-LLDD%20%E0%B8%AB%E0%B8%99%E0%B9%89%E0%B8%B2%E0%B8%88%E0%B8%AD%E0%B8%99%E0%B8%B3%E0%B9%80%E0%B8%82%E0%B9%89%E0%B8%B2%E0%B8%82%E0%B9%89%E0%B8%AD%E0%B8%A1%E0%B8%B9%E0%B8%A5%E0%B8%95%E0%B8%B1%E0%B9%89%E0%B8%87%E0%B8%95%E0%B9%89%E0%B8%99-1.0.docx?d=w2e0415263ed74bd7865bd8b768796589&amp;csf=1&amp;web=1&amp;e=FwdPg3" TargetMode="External" Id="rId49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4%20%5BSBP%20Operating%20Management%20%E0%B8%9B%E0%B8%A3%E0%B8%B0%E0%B8%81%E0%B8%B1%E0%B8%99%E0%B8%A3%E0%B8%B2%E0%B8%A2%E0%B9%84%E0%B8%94%E0%B9%89,%20Contract%20Management%20(%E0%B8%A3%E0%B9%89%E0%B8%B2%E0%B8%99%E0%B8%9E%E0%B8%A3%E0%B9%89%E0%B8%AD%E0%B8%A1%E0%B9%82%E0%B8%AD%E0%B8%99)%5D/Contract%20Management%20(%E0%B8%A3%E0%B9%89%E0%B8%B2%E0%B8%99%E0%B8%9E%E0%B8%A3%E0%B9%89%E0%B8%AD%E0%B8%A1%E0%B9%82%E0%B8%AD%E0%B8%99)/TSM-0666-LLDD%20%E0%B8%AB%E0%B8%99%E0%B9%89%E0%B8%B2%E0%B8%88%E0%B8%AD%E0%B8%A3%E0%B9%89%E0%B8%B2%E0%B8%99%E0%B8%9E%E0%B8%A3%E0%B9%89%E0%B8%AD%E0%B8%A1%E0%B9%82%E0%B8%AD%E0%B8%99%E0%B9%80%E0%B8%9B%E0%B9%87%E0%B8%99%20SBP-1.0.docx?d=w9b64b4bd6f5c4c7488a251acdf684503&amp;csf=1&amp;web=1&amp;e=noco4g" TargetMode="External" Id="rId50"/><Relationship Type="http://schemas.openxmlformats.org/officeDocument/2006/relationships/hyperlink" Target="https://cpallgroup.sharepoint.com/:x:/r/sites/MST-GO0666ITHW2025ReplaceSBPManagementSystem/Shared%20Documents/General/04-Analysis%20%26%20Design/LLDD/Non-Baseline/TSM-SRM-LLDD%20SBP%20workflow%201.0.xlsx?csf=1&amp;web=1&amp;e=SXNuX9" TargetMode="External" Id="rId51"/><Relationship Type="http://schemas.openxmlformats.org/officeDocument/2006/relationships/hyperlink" Target="https://cpallgroup.sharepoint.com/:w:/r/sites/MST-GO0666ITHW2025ReplaceSBPManagementSystem/Shared%20Documents/General/04-Analysis%20%26%20Design/LLDD/Non-Baseline/SBP%20Evalation/TSM-GO0666-LLDD-&#3648;&#3617;&#3609;&#3641;&#3648;&#3585;&#3619;&#3604;&#3586;&#3629;&#3591;&#3649;&#3610;&#3610;&#3611;&#3619;&#3632;&#3648;&#3617;&#3636;&#3609;(FES)-1.0.docx?csf=1&amp;web=1&amp;e=kfihgO" TargetMode="External" Id="rId52"/><Relationship Type="http://schemas.openxmlformats.org/officeDocument/2006/relationships/hyperlink" Target="https://cpallgroup.sharepoint.com/:b:/r/sites/MST-GO0666ITHW2025ReplaceSBPManagementSystem/Shared%20Documents/General/04-Analysis%20%26%20Design/LLDD/Non-Baseline/1.%20SBP%20Portal/TSM-TEM-LLDD_SBP_MALL_Web-1.2.1.pdf?csf=1&amp;web=1&amp;e=xbjaj1" TargetMode="External" Id="rId53"/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&#3609;&#3635;&#3648;&#3586;&#3657;&#3634;&#3586;&#3657;&#3629;&#3617;&#3641;&#3621;/TSM-LLDD_SBP%20Operating%20Management-&#3609;&#3635;&#3648;&#3586;&#3657;&#3634;&#3586;&#3657;&#3629;&#3617;&#3641;&#3621;.docx?csf=1&amp;web=1&amp;e=fLzs6j" TargetMode="External" Id="rId54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Core%20Design%20%26%20Share%20Library/MQ%20Connector_Consumer?d=w691bba1b3e9645ea824866a5a3812553&amp;csf=1&amp;web=1&amp;e=oXCXET" TargetMode="External" Id="rId55"/><Relationship Type="http://schemas.openxmlformats.org/officeDocument/2006/relationships/hyperlink" Target="https://cpallgroup.sharepoint.com/:f:/r/sites/MST-GO0666ITHW2025ReplaceSBPManagementSystem/Shared%20Documents/General/04-Analysis%20%26%20Design/LLDD/Non-Baseline/Review%20%26%20Approve/SBP%20Mall%20Portal/SIV?csf=1&amp;web=1&amp;e=xlviZx" TargetMode="External" Id="rId56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&#3648;&#3585;&#3619;&#3604;&#3586;&#3629;&#3591;&#3649;&#3610;&#3610;&#3611;&#3619;&#3632;&#3648;&#3617;&#3636;&#3609;?d=w6e81369f7792402fb6d65cad57637fed&amp;csf=1&amp;web=1&amp;e=VzfPba" TargetMode="External" Id="rId57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Statement?csf=1&amp;web=1&amp;e=fvqNWr" TargetMode="External" Id="rId58"/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performance/TSM-LLDD_SBP_Performance.docx?d=w330432d0f7c742b7ba499f76f2ae4478&amp;csf=1&amp;web=1&amp;e=6OSSxQ" TargetMode="External" Id="rId59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Statement?csf=1&amp;web=1&amp;e=fvqNWr" TargetMode="External" Id="rId60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EMLSB/TSM-HRM-LLDD_EMLSB_OutboundLAM.docx?d=w4cedcb6c0e23493f932ac21df1a2ee09&amp;csf=1&amp;web=1&amp;e=e0ozBi" TargetMode="External" Id="rId61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d=w007bffa5486247e68b9f1f6c5d1b01f5&amp;csf=1&amp;web=1&amp;e=ZJCeCd" TargetMode="External" Id="rId62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&#3626;&#3619;&#3640;&#3611;&#3586;&#3657;&#3629;&#3617;&#3641;&#3621;&#3614;&#3636;&#3592;&#3634;&#3619;&#3603;&#3634;&#3619;&#3634;&#3591;&#3623;&#3633;&#3621;&#3611;&#3619;&#3632;&#3592;&#3635;&#3611;&#3637;-1.0.docx?d=w260c862af33041b6961768a725298fd2&amp;csf=1&amp;web=1&amp;e=LOsbNn" TargetMode="External" Id="rId63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M-LLDD_EMLSB_InboundSTC.docx?d=w775a9ebde3964340bc91c1809517728e&amp;csf=1&amp;web=1&amp;e=TioDYn" TargetMode="External" Id="rId64"/><Relationship Type="http://schemas.openxmlformats.org/officeDocument/2006/relationships/hyperlink" Target="https://cpallgroup.sharepoint.com/:x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S-LLDD%20EMLSB_API_DTS-1.0.xlsx?d=w65ddbc7f453a448bb603dc60ebc42b87&amp;csf=1&amp;web=1&amp;e=862oZb" TargetMode="External" Id="rId65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tore%20Partner%20Management?d=w6301328208304872b0bce1f4dca0cb0b&amp;csf=1&amp;web=1&amp;e=UUHfAh" TargetMode="External" Id="rId66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M-LLDD_EMLSB_InboundMMS-1.0.docx?d=we13f2b382f6f4f13a3dff5402daee199&amp;csf=1&amp;web=1&amp;e=5kmmux" TargetMode="External" Id="rId67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M-LLDD_EMLSB_OutboundEML.docx?d=wd72691e288a2429c969b45c0d2d40ba7&amp;csf=1&amp;web=1&amp;e=WfLJrt" TargetMode="External" Id="rId68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M-LLDD_EMLSB_OutboundSTM.docx?d=w810e2bffc1e34787b16fcd09f2cafb5f&amp;csf=1&amp;web=1&amp;e=63Pgye" TargetMode="External" Id="rId69"/><Relationship Type="http://schemas.openxmlformats.org/officeDocument/2006/relationships/hyperlink" Target="https://cpallgroup.sharepoint.com/:x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tore%20Partner%20Management/TSM-0666-LLDD%20&#3627;&#3609;&#3657;&#3634;&#3592;&#3629;&#3588;&#3657;&#3609;&#3627;&#3634;&#3586;&#3657;&#3629;&#3617;&#3641;&#3621;&#3612;&#3641;&#3657;&#3626;&#3609;&#3651;&#3592;&#3614;&#3639;&#3657;&#3609;&#3607;&#3637;&#3656;&#3621;&#3591;&#3607;&#3640;&#3609;.xlsx?d=w07e34620ef5643ca9f78087d45b074a1&amp;csf=1&amp;web=1&amp;e=x7BVQY" TargetMode="External" Id="rId70"/><Relationship Type="http://schemas.openxmlformats.org/officeDocument/2006/relationships/hyperlink" Target="https://cpallgroup.sharepoint.com/:x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tore%20Partner%20Management/TSM-0666-LLDD%20&#3627;&#3609;&#3657;&#3634;&#3592;&#3629;&#3612;&#3641;&#3657;&#3626;&#3609;&#3651;&#3592;&#3621;&#3591;&#3607;&#3640;&#3609;.xlsx?d=w7ec7dc2b3ce2447f9f7af5512dbf88b0&amp;csf=1&amp;web=1&amp;e=3koyUh" TargetMode="External" Id="rId71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&#3610;&#3633;&#3609;&#3607;&#3638;&#3585;&#3586;&#3657;&#3629;&#3605;&#3585;&#3621;&#3591;-1.0.docx?d=w7668b3bd269c4735a5deb1b81894ef2b&amp;csf=1&amp;web=1&amp;e=y0oTwg" TargetMode="External" Id="rId72"/><Relationship Type="http://schemas.openxmlformats.org/officeDocument/2006/relationships/hyperlink" Target="https://cpallgroup.sharepoint.com/:x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tore%20Partner%20Management/TSM-0666-LLDD%20&#3627;&#3609;&#3657;&#3634;&#3592;&#3629;%20&#3588;&#3657;&#3609;&#3627;&#3634;&#3586;&#3657;&#3629;&#3617;&#3641;&#3621;&#3619;&#3634;&#3618;&#3594;&#3639;&#3656;&#3629;%20Blacklist.xlsx?d=wd734defc58ec4e7895c23befd9036f71&amp;csf=1&amp;web=1&amp;e=yLhZEo" TargetMode="External" Id="rId73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WFDSB/TSM-HRM-LLDD_WFDSB_InboundSTM-1.0.docx?d=wda06e05e7e3a47e797f6779ed926b7b5&amp;csf=1&amp;web=1&amp;e=se8JEA" TargetMode="External" Id="rId74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WFDSB/TSM-HRM-LLDD_WFDSB_InboundAMS-1.0.docx?d=w627167c2754c415a83525079b2a3c60e&amp;csf=1&amp;web=1&amp;e=TimfB2" TargetMode="External" Id="rId75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WFDSB/TSM-HRM-LLDD_WFDSB_OutboundSTA-1.0.docx?d=w32079c31d1ad4beab1473e40fccef5b7&amp;csf=1&amp;web=1&amp;e=yyTA0u" TargetMode="External" Id="rId76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WFDSB/TSM-HRM-LLDD_WFDSB_OutboundSTA-1.0.docx?d=w32079c31d1ad4beab1473e40fccef5b7&amp;csf=1&amp;web=1&amp;e=yyTA0u" TargetMode="External" Id="rId77"/><Relationship Type="http://schemas.openxmlformats.org/officeDocument/2006/relationships/hyperlink" Target="https://cpallgroup.sharepoint.com/:f:/r/sites/MST-GO0666ITHW2025ReplaceSBPManagementSystem/Shared%20Documents/General/04-Analysis%20%26%20Design/LLDD/Non-Baseline/Integration/SAP?d=w32079c31d1ad4beab1473e40fccef5b7&amp;csf=1&amp;web=1&amp;e=yyTA0u" TargetMode="External" Id="rId78"/><Relationship Type="http://schemas.openxmlformats.org/officeDocument/2006/relationships/hyperlink" Target="https://cpallgroup.sharepoint.com/:x:/r/sites/MST-GO0666ITHW2025ReplaceSBPManagementSystem/Shared%20Documents/General/04-Analysis%20%26%20Design/LLDD/Non-Baseline/TSM_SRM_LLDD-Integration%20MQ-1.2.xlsx?d=w32079c31d1ad4beab1473e40fccef5b7&amp;csf=1&amp;web=1&amp;e=yyTA0u" TargetMode="External" Id="rId79"/><Relationship Type="http://schemas.openxmlformats.org/officeDocument/2006/relationships/hyperlink" Target="https://cpallgroup.sharepoint.com/:f:/r/sites/MST-GO0666ITHW2025ReplaceSBPManagementSystem/Shared%20Documents/General/04-Analysis%20%26%20Design/LLDD/Non-Baseline/Review%20%26%20Approve/SBP%20Mall%20Portal/SIV?d=w51e3b8fa688944ceae3c18fdd5f494a8&amp;csf=1&amp;web=1&amp;e=9Zqe2E" TargetMode="External" Id="rId80"/><Relationship Type="http://schemas.openxmlformats.org/officeDocument/2006/relationships/hyperlink" Target="https://cpallgroup.sharepoint.com/:w:/r/sites/MST-GO0666ITHW2025ReplaceSBPManagementSystem/Shared%20Documents/General/04-Analysis%20%26%20Design/LLDD/Non-Baseline/1.%20SBP%20Portal/TSM-TEM-LLDD_SBP_Investor_Web-1.0.docx?d=web124b3edd2e425caf14a77bbe1bf62f&amp;csf=1&amp;web=1&amp;e=4n3wvC" TargetMode="External" Id="rId81"/><Relationship Type="http://schemas.openxmlformats.org/officeDocument/2006/relationships/hyperlink" Target="https://cpallgroup.sharepoint.com/:x:/r/sites/MST-GO0666ITHW2025ReplaceSBPManagementSystem/Shared%20Documents/General/04-Analysis%20%26%20Design/LLDD/Non-Baseline/Store%20Partner%20Management/TSM-SRM-LLDD%20%20Declare%20-%202.0.xlsx?d=wa1e8e8d6bb524cdf94944b8d986e2cdd&amp;csf=1&amp;web=1&amp;e=bT16qd" TargetMode="External" Id="rId82"/><Relationship Type="http://schemas.openxmlformats.org/officeDocument/2006/relationships/hyperlink" Target="https://cpallgroup.sharepoint.com/:w:/r/sites/MST-GO0666ITHW2025ReplaceSBPManagementSystem/Shared%20Documents/General/04-Analysis%20%26%20Design/LLDD/Non-Baseline/SBP%20Evalation/TSM-GO0666-LLDD-%E0%B8%81%E0%B8%B2%E0%B8%A3%E0%B8%99%E0%B8%B3%E0%B9%80%E0%B8%82%E0%B9%89%E0%B8%B2%E0%B8%82%E0%B9%89%E0%B8%AD%E0%B8%A1%E0%B8%B9%E0%B8%A5%C2%A0(FES)-1.0.docx?d=w6361fd63ada74f8d8c5e991be8e5c179&amp;csf=1&amp;web=1&amp;e=mzJ6CP" TargetMode="External" Id="rId83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%E0%B8%81%E0%B8%B2%E0%B8%A3%E0%B8%99%E0%B8%B3%E0%B9%80%E0%B8%82%E0%B9%89%E0%B8%B2%E0%B8%82%E0%B9%89%E0%B8%AD%E0%B8%A1%E0%B8%B9%E0%B8%A5%E0%B9%80%E0%B8%9B%E0%B9%89%E0%B8%B2%E0%B8%AB%E0%B8%A1%E0%B8%B2%E0%B8%A2%E0%B9%81%E0%B8%A5%E0%B8%B0%E0%B9%80%E0%B8%81%E0%B8%B4%E0%B8%94%E0%B8%88%E0%B8%A3%E0%B8%B4%E0%B8%87%20(%E0%B9%80%E0%B8%A1%E0%B8%99%E0%B8%B9%E0%B8%99%E0%B8%B3%E0%B9%80%E0%B8%82%E0%B9%89%E0%B8%B2%E0%B8%82%E0%B9%89%E0%B8%AD%E0%B8%A1%E0%B8%B9%E0%B8%A5%E0%B8%A3%E0%B8%B0%E0%B8%9A%E0%B8%9A)?csf=1&amp;web=1&amp;e=Jtvopf" TargetMode="External" Id="rId84"/><Relationship Type="http://schemas.openxmlformats.org/officeDocument/2006/relationships/hyperlink" Target="https://cpallgroup.sharepoint.com/:w:/r/sites/MST-GO0666ITHW2025ReplaceSBPManagementSystem/Shared%20Documents/General/04-Analysis%20%26%20Design/LLDD/Non-Baseline/SBP%20Evalation/TSM-GO0666-LLDD-&#3611;&#3619;&#3632;&#3648;&#3617;&#3636;&#3609;&#3612;&#3621;(FES)-1.0.docx?d=w6a7af829ebb04dd7a7fdd690fd99b54c&amp;csf=1&amp;web=1&amp;e=EULbkG" TargetMode="External" Id="rId85"/><Relationship Type="http://schemas.openxmlformats.org/officeDocument/2006/relationships/hyperlink" Target="https://cpallgroup.sharepoint.com/:w:/r/sites/MST-GO0666ITHW2025ReplaceSBPManagementSystem/Shared%20Documents/General/04-Analysis%20%26%20Design/LLDD/Non-Baseline/SBP%20Evalation/TSM-GO0666-LLDD-&#3648;&#3617;&#3609;&#3641;&#3585;&#3634;&#3619;&#3649;&#3592;&#3657;&#3591;&#3611;&#3619;&#3632;&#3648;&#3617;&#3636;&#3609;%20(FES)-1.docx?csf=1&amp;web=1&amp;e=jxByND" TargetMode="External" Id="rId86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&#3605;&#3619;&#3623;&#3592;&#3626;&#3629;&#3610;&#3611;&#3619;&#3632;&#3648;&#3617;&#3636;&#3609;&#3612;&#3621;%20(FES)-1.0.docx?d=wed44706cc9404926ae3aac612c01e800&amp;csf=1&amp;web=1&amp;e=VdbdB9" TargetMode="External" Id="rId87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EMLSB/TSM-HRM-LLDD_EMLSB_InboundOAS.docx?csf=1&amp;web=1&amp;e=1D3Ret" TargetMode="External" Id="rId88"/><Relationship Type="http://schemas.openxmlformats.org/officeDocument/2006/relationships/hyperlink" Target="https://cpallgroup.sharepoint.com/:w:/r/sites/MST-GO0666ITHW2025ReplaceSBPManagementSystem/Shared%20Documents/General/04-Analysis%20%26%20Design/LLDD/Non-Baseline/SBP%20Evalation/TSM-GO0666-LLDD-%E0%B8%81%E0%B8%B2%E0%B8%A3%E0%B8%99%E0%B8%B3%E0%B9%80%E0%B8%82%E0%B9%89%E0%B8%B2%E0%B8%82%E0%B9%89%E0%B8%AD%E0%B8%A1%E0%B8%B9%E0%B8%A5%C2%A0(FES)-1.0.docx?d=w6361fd63ada74f8d8c5e991be8e5c179&amp;csf=1&amp;web=1&amp;e=mzJ6CP" TargetMode="External" Id="rId89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%E0%B8%99%E0%B8%B3%E0%B9%80%E0%B8%82%E0%B9%89%E0%B8%B2%E0%B8%84%E0%B8%B0%E0%B9%81%E0%B8%99%E0%B8%99%20Premium%20(%E0%B9%80%E0%B8%A1%E0%B8%99%E0%B8%B9%E0%B8%99%E0%B8%B3%E0%B9%80%E0%B8%82%E0%B9%89%E0%B8%B2%E0%B8%82%E0%B9%89%E0%B8%AD%E0%B8%A1%E0%B8%B9%E0%B8%A5%E0%B8%A3%E0%B8%B0%E0%B8%9A%E0%B8%9A)?csf=1&amp;web=1&amp;e=tjDpKz" TargetMode="External" Id="rId90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EMLSB/TSM-HRM-LLDD_EMLSB_OutboubdCOU.docx?d=wab3db020dcdb46a092a999073df8e128&amp;csf=1&amp;web=1&amp;e=uxjykh" TargetMode="External" Id="rId91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%E0%B8%99%E0%B8%B3%E0%B9%80%E0%B8%82%E0%B9%89%E0%B8%B2%E0%B8%84%E0%B8%B0%E0%B9%81%E0%B8%99%E0%B8%99%20Premium%20(%E0%B9%80%E0%B8%A1%E0%B8%99%E0%B8%B9%E0%B8%99%E0%B8%B3%E0%B9%80%E0%B8%82%E0%B9%89%E0%B8%B2%E0%B8%82%E0%B9%89%E0%B8%AD%E0%B8%A1%E0%B8%B9%E0%B8%A5%E0%B8%A3%E0%B8%B0%E0%B8%9A%E0%B8%9A)?csf=1&amp;web=1&amp;e=tjDpKz" TargetMode="External" Id="rId92"/><Relationship Type="http://schemas.openxmlformats.org/officeDocument/2006/relationships/hyperlink" Target="https://cpallgroup.sharepoint.com/:x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tore%20Partner%20Management/TSM-0666-LLDD%20&#3627;&#3609;&#3657;&#3634;&#3592;&#3629;&#3586;&#3657;&#3629;&#3617;&#3641;&#3621;&#3612;&#3641;&#3657;&#3626;&#3609;&#3651;&#3592;&#3621;&#3591;&#3607;&#3640;&#3609;.xlsx?d=w6c8af3bbab464b05b6d4b5403fb4368a&amp;csf=1&amp;web=1&amp;e=uWB7sO" TargetMode="External" Id="rId93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%E0%B8%99%E0%B8%B3%E0%B9%80%E0%B8%82%E0%B9%89%E0%B8%B2%E0%B8%84%E0%B8%B0%E0%B9%81%E0%B8%99%E0%B8%99%20Premium%20(%E0%B9%80%E0%B8%A1%E0%B8%99%E0%B8%B9%E0%B8%99%E0%B8%B3%E0%B9%80%E0%B8%82%E0%B9%89%E0%B8%B2%E0%B8%82%E0%B9%89%E0%B8%AD%E0%B8%A1%E0%B8%B9%E0%B8%A5%E0%B8%A3%E0%B8%B0%E0%B8%9A%E0%B8%9A)?csf=1&amp;web=1&amp;e=tjDpKz" TargetMode="External" Id="rId94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performance-1.0.docx?d=w929e26f2b8d04046859cd7a68098b5b4&amp;csf=1&amp;web=1&amp;e=UI2bOE" TargetMode="External" Id="rId95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csf=1&amp;web=1&amp;e=Zou5CX" TargetMode="External" Id="rId96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EMLSB/TSM-HRM-LLDD_EMLSB_OutboundCPMS(Panya).docx?d=wf4738454e3af4e1ca388faea43c2f379&amp;csf=1&amp;web=1&amp;e=LjK97S" TargetMode="External" Id="rId97"/><Relationship Type="http://schemas.openxmlformats.org/officeDocument/2006/relationships/hyperlink" Target="https://cpallgroup.sharepoint.com/:x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tore%20Partner%20Management/TSM-0666-LLDD%20&#3627;&#3609;&#3657;&#3634;&#3592;&#3629;%20&#3592;&#3633;&#3604;&#3585;&#3634;&#3619;&#3619;&#3634;&#3618;&#3594;&#3639;&#3656;&#3629;%20Blacklist.xlsx?csf=1&amp;web=1&amp;e=Zou5CX" TargetMode="External" Id="rId98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%E0%B8%A3%E0%B8%B2%E0%B8%A2%E0%B8%87%E0%B8%B2%E0%B8%99%E0%B8%AA%E0%B8%A3%E0%B8%B8%E0%B8%9B%E0%B8%9B%E0%B8%A3%E0%B8%B0%E0%B9%80%E0%B8%A1%E0%B8%B4%E0%B8%99%E0%B8%9C%E0%B8%A5%E0%B8%9A%E0%B8%A3%E0%B8%B4%E0%B8%AB%E0%B8%B2%E0%B8%A3%E0%B8%A3%E0%B9%89%E0%B8%B2%E0%B8%99%E0%B8%84%E0%B9%89%E0%B8%B2%C2%A0(FES)-1.0.docx?d=w732a528b8f984fe0bd96638bfb78a5b8&amp;csf=1&amp;web=1&amp;e=gfIhfw" TargetMode="External" Id="rId99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csf=1&amp;web=1&amp;e=Zou5CX" TargetMode="External" Id="rId100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%E0%B8%A3%E0%B8%B2%E0%B8%A2%E0%B8%87%E0%B8%B2%E0%B8%99%E0%B8%AA%E0%B8%A3%E0%B8%B8%E0%B8%9B%E0%B9%80%E0%B8%81%E0%B8%A3%E0%B8%94%E0%B8%9B%E0%B8%A3%E0%B8%B0%E0%B9%80%E0%B8%A1%E0%B8%B4%E0%B8%99%E0%B8%9C%E0%B8%A5(FES)-1.0.docx?d=wec47251c295d4ff9a765ea4269bc1071&amp;csf=1&amp;web=1&amp;e=rcgzsZ" TargetMode="External" Id="rId101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csf=1&amp;web=1&amp;e=Zou5CX" TargetMode="External" Id="rId102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%E0%B8%AA%E0%B8%A3%E0%B8%B8%E0%B8%9B%E0%B8%82%E0%B9%89%E0%B8%AD%E0%B8%A1%E0%B8%B9%E0%B8%A5%E0%B8%9E%E0%B8%B4%E0%B8%88%E0%B8%B2%E0%B8%A3%E0%B8%93%E0%B8%B2%E0%B8%A3%E0%B8%B2%E0%B8%87%E0%B8%A7%E0%B8%B1%E0%B8%A5%E0%B8%9B%E0%B8%A3%E0%B8%B0%E0%B8%88%E0%B8%B3%E0%B8%9B%E0%B8%B5-1.0.docx?d=w78c597de7a014a49abf598c39871266d&amp;csf=1&amp;web=1&amp;e=u061gp" TargetMode="External" Id="rId103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csf=1&amp;web=1&amp;e=Zou5CX" TargetMode="External" Id="rId104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%E0%B9%83%E0%B8%9A%E0%B8%AA%E0%B8%A3%E0%B8%B8%E0%B8%9B%E0%B9%80%E0%B8%81%E0%B8%A3%E0%B8%94%20-1.0.docx?d=w216a7278786b4bea98936bc757cf651e&amp;csf=1&amp;web=1&amp;e=P0xlCn" TargetMode="External" Id="rId105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WFDSB/TSM-HRM-LLDD_WFDSB_OutboundSTA-1.0.docx?csf=1&amp;web=1&amp;e=Zou5CX" TargetMode="External" Id="rId106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%E0%B9%83%E0%B8%9A%E0%B8%AA%E0%B8%A3%E0%B8%B8%E0%B8%9B%E0%B9%80%E0%B8%81%E0%B8%A3%E0%B8%94%20(Admin)-1.0.docx?d=w8ee6d2c663704ed78b75bd4573aa5f9d&amp;csf=1&amp;web=1&amp;e=DZhm89" TargetMode="External" Id="rId107"/><Relationship Type="http://schemas.openxmlformats.org/officeDocument/2006/relationships/hyperlink" Target="https://cpallgroup.sharepoint.com/:f:/r/sites/MST-GO0666ITHW2025ReplaceSBPManagementSystem/Shared%20Documents/General/04-Analysis%20%26%20Design/LLDD/Non-Baseline/Integration/STA?csf=1&amp;web=1&amp;e=Zou5CX" TargetMode="External" Id="rId108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EMLSB/TSM-HRM-LLDD_EMLSB_InboundSBPMallSTPN-1.0.docx?d=w39352c699b2b4cef8e457812b65d2db7&amp;csf=1&amp;web=1&amp;e=fc4jms" TargetMode="External" Id="rId109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WFDSB/TSM-HRM-LLDD_WFDSB_&#3618;&#3639;&#3609;&#3618;&#3633;&#3609;&#3585;&#3635;&#3621;&#3633;&#3591;&#3588;&#3609;-1.0.docx?csf=1&amp;web=1&amp;e=Zou5CX" TargetMode="External" Id="rId110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d=w78c597de7a014a49abf598c39871266d&amp;csf=1&amp;web=1&amp;e=u061gp" TargetMode="External" Id="rId111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3%20%5bContract%20Management,%20Store%20Partner%20Management,%20SBP%20Employee%20Management%20(&#3585;&#3635;&#3621;&#3633;&#3591;&#3588;&#3609;)%20%5d/SBP%20Employee%20Management%20(&#3585;&#3635;&#3621;&#3633;&#3591;&#3588;&#3609;)/LLDD_WFDSB/TSM-HRM-LLDD_WFDSB_JobEmail-1.0.docx?csf=1&amp;web=1&amp;e=Zou5CX" TargetMode="External" Id="rId112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%E0%B8%84%E0%B9%89%E0%B8%99%E0%B8%AB%E0%B8%B2%E0%B9%83%E0%B8%9A%E0%B8%82%E0%B9%89%E0%B8%AD%E0%B8%84%E0%B8%A7%E0%B8%B2%E0%B8%A1%E0%B8%A3%E0%B9%88%E0%B8%A7%E0%B8%A1%E0%B8%A1%E0%B8%B7%E0%B8%AD-1.0.docx?d=w5fa2e89feb5f4eebb96d85be153df9a5&amp;csf=1&amp;web=1&amp;e=Ed9SGz" TargetMode="External" Id="rId113"/><Relationship Type="http://schemas.openxmlformats.org/officeDocument/2006/relationships/hyperlink" Target="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%E0%B8%AA%E0%B8%A3%E0%B9%89%E0%B8%B2%E0%B8%87%E0%B9%83%E0%B8%9A%E0%B8%82%E0%B8%AD%E0%B8%84%E0%B8%A7%E0%B8%B2%E0%B8%A1%E0%B8%A3%E0%B9%88%E0%B8%A7%E0%B8%A1%E0%B8%A1%E0%B8%B7%E0%B8%AD-1.0.docx?d=w1ba7ca5726db4d239cef87892bb8c7dc&amp;csf=1&amp;web=1&amp;e=yPeQTy" TargetMode="External" Id="rId114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d=w79a5887bebd54b1eb7dd65583e6d12f6&amp;csf=1&amp;web=1&amp;e=R2ARGK" TargetMode="External" Id="rId115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Evaluation%20Management/Feedback?d=w29f00ea31fc1452188f81f2c58ebb1f7&amp;csf=1&amp;web=1&amp;e=BJPodl" TargetMode="External" Id="rId116"/></Relationships>
</file>

<file path=xl/worksheets/_rels/sheet2.xml.rels><Relationships xmlns="http://schemas.openxmlformats.org/package/2006/relationships"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&#3609;&#3635;&#3648;&#3586;&#3657;&#3634;&#3586;&#3657;&#3629;&#3617;&#3641;&#3621;/TSM-LLDD_SBP%20Operating%20Management-&#3609;&#3635;&#3648;&#3586;&#3657;&#3634;&#3586;&#3657;&#3629;&#3617;&#3641;&#3621;.docx?d=w356af126d7bb4c7dbbca75083eaa93a4&amp;csf=1&amp;web=1&amp;e=41x20T" TargetMode="External" Id="rId1"/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statement/TSM-LLDD_SBP_Statement-%232.docx?csf=1&amp;web=1&amp;e=O3XmpM" TargetMode="External" Id="rId2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Mall%20Portal/Authentication?d=w6cb141939547474f8b67245359532068&amp;csf=1&amp;web=1&amp;e=GJG62R" TargetMode="External" Id="rId3"/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statement/TSM-LLDD_SBP_Statement_%231.docx?csf=1&amp;web=1&amp;e=Vp4Egl" TargetMode="External" Id="rId4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Integration%20(STA)?d=wbeaf587feece47d29824c690e72e9ab7&amp;csf=1&amp;web=1&amp;e=DrS3Zm" TargetMode="External" Id="rId5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Statement?csf=1&amp;web=1&amp;e=dUTGLA" TargetMode="External" Id="rId6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&#3609;&#3635;&#3648;&#3586;&#3657;&#3634;&#3586;&#3657;&#3629;&#3617;&#3641;&#3621;?csf=1&amp;web=1&amp;e=H9eLGl" TargetMode="External" Id="rId7"/><Relationship Type="http://schemas.openxmlformats.org/officeDocument/2006/relationships/hyperlink" Target="https://cpallgroup.sharepoint.com/:w:/r/sites/MST-GO0666ITHW2025ReplaceSBPManagementSystem/Shared%20Documents/General/04-Analysis%20%26%20Design/LLDD/Non-Baseline/1.%20SBP%20Portal/TSM-TEM-LLDD_SBP_Investor_Web-1.0.docx?csf=1&amp;web=1&amp;e=zCr5ek" TargetMode="External" Id="rId8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Integration%20(SAP)?csf=1&amp;web=1&amp;e=SXNuX9" TargetMode="External" Id="rId9"/><Relationship Type="http://schemas.openxmlformats.org/officeDocument/2006/relationships/hyperlink" Target="https://cpallgroup.sharepoint.com/:w:/r/sites/MST-GO0666ITHW2025ReplaceSBPManagementSystem/Shared%20Documents/General/04-Analysis%20%26%20Design/LLDD/Non-Baseline/1.%20SBP%20Portal/TSM-TEM-LLDD_SBP_MALL_Web-1.1.docx?csf=1&amp;web=1&amp;e=kfihgO" TargetMode="External" Id="rId10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Statement?csf=1&amp;web=1&amp;e=xbjaj1" TargetMode="External" Id="rId11"/><Relationship Type="http://schemas.openxmlformats.org/officeDocument/2006/relationships/hyperlink" Target="https://cpallgroup.sharepoint.com/:b:/r/sites/MST-GO0666ITHW2025ReplaceSBPManagementSystem/Shared%20Documents/General/04-Analysis%20%26%20Design/LLDD/Non-Baseline/1.%20SBP%20Portal/TSM-TEM-LLDD_SBP_MALL_Web-1.2.1.pdf?csf=1&amp;web=1&amp;e=fLzs6j" TargetMode="External" Id="rId12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Mall%20Portal/SML?d=w691bba1b3e9645ea824866a5a3812553&amp;csf=1&amp;web=1&amp;e=oXCXET" TargetMode="External" Id="rId13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Mall%20Portal/SBPM?csf=1&amp;web=1&amp;e=xlviZx" TargetMode="External" Id="rId14"/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performance/TSM-LLDD_SBP_Performance.docx?d=w6e81369f7792402fb6d65cad57637fed&amp;csf=1&amp;web=1&amp;e=VzfPba" TargetMode="External" Id="rId15"/><Relationship Type="http://schemas.openxmlformats.org/officeDocument/2006/relationships/hyperlink" Target="https://cpallgroup.sharepoint.com/:f:/r/sites/MST-GO0666ITHW2025ReplaceSBPManagementSystem/Shared%20Documents/General/04-Analysis%20%26%20Design/LLDD/Non-Baseline/_Review%20%26%20Approve/SBP%20Operating%20Management%20(Store%20Performance-Statement)/Statement?csf=1&amp;web=1&amp;e=fvqNWr" TargetMode="External" Id="rId16"/><Relationship Type="http://schemas.openxmlformats.org/officeDocument/2006/relationships/hyperlink" Target="https://cpallgroup.sharepoint.com/:w:/r/sites/MST-GO0666ITHW2025ReplaceSBPManagementSystem/Shared%20Documents/General/04-Analysis%20%26%20Design/LLDD/Non-Baseline/SBP%20Operating/statement/TSM-LLDD_SBP_Statement-%232.docx?d=w330432d0f7c742b7ba499f76f2ae4478&amp;csf=1&amp;web=1&amp;e=6OSSxQ" TargetMode="External" Id="rId17"/><Relationship Type="http://schemas.openxmlformats.org/officeDocument/2006/relationships/hyperlink" Target="https://cpallgroup.sharepoint.com/:f:/r/sites/MST-GO0666ITHW2025ReplaceSBPManagementSystem/Shared%20Documents/General/04-Analysis%20%26%20Design/LLDD/Non-Baseline/Integration/STA?csf=1&amp;web=1&amp;e=fvqNWr" TargetMode="External" Id="rId18"/><Relationship Type="http://schemas.openxmlformats.org/officeDocument/2006/relationships/hyperlink" Target="https://cpallgroup.sharepoint.com/:w:/r/sites/MST-GO0666ITHW2025ReplaceSBPManagementSystem/Shared%20Documents/General/04-Analysis%20%26%20Design/LLDD/Non-Baseline/1.%20SBP%20Portal/TSM-TEM-LLDD_SBP_Web_General_1.0.docx?d=w4cedcb6c0e23493f932ac21df1a2ee09&amp;csf=1&amp;web=1&amp;e=e0ozBi" TargetMode="External" Id="rId19"/><Relationship Type="http://schemas.openxmlformats.org/officeDocument/2006/relationships/hyperlink" Target="https://cpallgroup.sharepoint.com/:f:/r/sites/MST-GO0666ITHW2025ReplaceSBPManagementSystem/Shared%20Documents/General/04-Analysis%20%26%20Design/LLDD/Non-Baseline/Integration/SAP?csf=1&amp;web=1&amp;e=fvqNWr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8"/>
  <sheetViews>
    <sheetView tabSelected="1" workbookViewId="0">
      <pane ySplit="3" topLeftCell="A75" activePane="bottomLeft" state="frozen"/>
      <selection pane="bottomLeft" activeCell="B76" sqref="B76:D76"/>
    </sheetView>
  </sheetViews>
  <sheetFormatPr baseColWidth="8" defaultColWidth="8.85546875" defaultRowHeight="12.75" customHeight="1"/>
  <cols>
    <col width="5.7109375" customWidth="1" style="2" min="1" max="1"/>
    <col width="11.7109375" customWidth="1" style="2" min="2" max="2"/>
    <col width="9.28515625" customWidth="1" style="1" min="3" max="3"/>
    <col width="56.42578125" customWidth="1" style="1" min="4" max="4"/>
    <col width="40.7109375" customWidth="1" style="2" min="5" max="5"/>
    <col width="16.140625" customWidth="1" style="2" min="6" max="6"/>
    <col width="11.7109375" customWidth="1" style="2" min="7" max="7"/>
    <col width="10" customWidth="1" style="2" min="8" max="9"/>
    <col width="17.140625" bestFit="1" customWidth="1" style="2" min="10" max="10"/>
    <col width="26" customWidth="1" style="2" min="11" max="11"/>
    <col width="12.5703125" bestFit="1" customWidth="1" style="2" min="12" max="12"/>
    <col width="12.7109375" bestFit="1" customWidth="1" style="2" min="13" max="13"/>
    <col width="16.5703125" bestFit="1" customWidth="1" style="2" min="14" max="14"/>
    <col width="9.7109375" customWidth="1" style="2" min="15" max="16"/>
    <col width="17.140625" bestFit="1" customWidth="1" style="2" min="17" max="17"/>
    <col width="18.5703125" customWidth="1" style="2" min="18" max="18"/>
    <col width="12.85546875" bestFit="1" customWidth="1" style="2" min="19" max="19"/>
    <col width="12.42578125" bestFit="1" customWidth="1" style="2" min="20" max="20"/>
    <col width="21.5703125" customWidth="1" style="2" min="21" max="21"/>
    <col width="12.7109375" customWidth="1" style="2" min="22" max="22"/>
    <col width="12.85546875" customWidth="1" style="2" min="23" max="23"/>
    <col width="82.5703125" customWidth="1" style="2" min="24" max="24"/>
    <col width="60.85546875" customWidth="1" style="1" min="25" max="25"/>
    <col width="8.85546875" customWidth="1" style="1" min="26" max="16384"/>
  </cols>
  <sheetData>
    <row r="1" ht="24.75" customHeight="1">
      <c r="A1" s="123" t="inlineStr">
        <is>
          <t>No</t>
        </is>
      </c>
      <c r="B1" s="123" t="inlineStr">
        <is>
          <t>Release</t>
        </is>
      </c>
      <c r="C1" s="123" t="inlineStr">
        <is>
          <t>Module</t>
        </is>
      </c>
      <c r="D1" s="123" t="inlineStr">
        <is>
          <t>Function</t>
        </is>
      </c>
      <c r="E1" s="123" t="inlineStr">
        <is>
          <t>LLDD Link</t>
        </is>
      </c>
      <c r="F1" s="123" t="inlineStr">
        <is>
          <t>Approve Link</t>
        </is>
      </c>
      <c r="G1" s="123" t="inlineStr">
        <is>
          <t>Team</t>
        </is>
      </c>
      <c r="H1" s="144" t="inlineStr">
        <is>
          <t>Create LLDD</t>
        </is>
      </c>
      <c r="I1" s="145" t="n"/>
      <c r="J1" s="145" t="n"/>
      <c r="K1" s="145" t="n"/>
      <c r="L1" s="145" t="n"/>
      <c r="M1" s="146" t="n"/>
      <c r="N1" s="123" t="inlineStr">
        <is>
          <t>Send Email Date</t>
        </is>
      </c>
      <c r="O1" s="142" t="inlineStr">
        <is>
          <t>Approve LLDD</t>
        </is>
      </c>
      <c r="P1" s="145" t="n"/>
      <c r="Q1" s="145" t="n"/>
      <c r="R1" s="145" t="n"/>
      <c r="S1" s="145" t="n"/>
      <c r="T1" s="145" t="n"/>
      <c r="U1" s="145" t="n"/>
      <c r="V1" s="123" t="inlineStr">
        <is>
          <t>Dev Plan</t>
        </is>
      </c>
      <c r="W1" s="146" t="n"/>
      <c r="X1" s="137" t="inlineStr">
        <is>
          <t>Note</t>
        </is>
      </c>
      <c r="Y1" s="123" t="inlineStr">
        <is>
          <t>Remark</t>
        </is>
      </c>
    </row>
    <row r="2" ht="24.75" customHeight="1">
      <c r="A2" s="147" t="n"/>
      <c r="B2" s="147" t="n"/>
      <c r="C2" s="147" t="n"/>
      <c r="D2" s="147" t="n"/>
      <c r="E2" s="147" t="n"/>
      <c r="F2" s="147" t="n"/>
      <c r="G2" s="147" t="n"/>
      <c r="H2" s="23" t="inlineStr">
        <is>
          <t>Status</t>
        </is>
      </c>
      <c r="I2" s="23" t="inlineStr">
        <is>
          <t>%</t>
        </is>
      </c>
      <c r="J2" s="23" t="inlineStr">
        <is>
          <t>Flag</t>
        </is>
      </c>
      <c r="K2" s="23" t="inlineStr">
        <is>
          <t>Assignee</t>
        </is>
      </c>
      <c r="L2" s="23" t="inlineStr">
        <is>
          <t>Target Date</t>
        </is>
      </c>
      <c r="M2" s="23" t="inlineStr">
        <is>
          <t>Submit Date</t>
        </is>
      </c>
      <c r="N2" s="147" t="n"/>
      <c r="O2" s="24" t="inlineStr">
        <is>
          <t>Status</t>
        </is>
      </c>
      <c r="P2" s="24" t="inlineStr">
        <is>
          <t>%</t>
        </is>
      </c>
      <c r="Q2" s="24" t="inlineStr">
        <is>
          <t>Flag</t>
        </is>
      </c>
      <c r="R2" s="24" t="inlineStr">
        <is>
          <t>Approve By</t>
        </is>
      </c>
      <c r="S2" s="24" t="inlineStr">
        <is>
          <t>Plan Date</t>
        </is>
      </c>
      <c r="T2" s="24" t="inlineStr">
        <is>
          <t>Target Date</t>
        </is>
      </c>
      <c r="U2" s="25" t="inlineStr">
        <is>
          <t>Approve/Feedback Date</t>
        </is>
      </c>
      <c r="V2" s="123" t="inlineStr">
        <is>
          <t>Start Date</t>
        </is>
      </c>
      <c r="W2" s="123" t="inlineStr">
        <is>
          <t>Finish Date</t>
        </is>
      </c>
      <c r="X2" s="148" t="n"/>
      <c r="Y2" s="147" t="n"/>
    </row>
    <row r="3">
      <c r="A3" s="149" t="n"/>
      <c r="B3" s="149" t="n"/>
      <c r="C3" s="149" t="n"/>
      <c r="D3" s="149" t="n"/>
      <c r="E3" s="149" t="n"/>
      <c r="F3" s="149" t="n"/>
      <c r="G3" s="149" t="n"/>
      <c r="H3" s="23" t="n"/>
      <c r="I3" s="44">
        <f>(SUM(I4,I11,I16,I28,I56,I65,I67,I74,I76,I112,I136,I156)/12)</f>
        <v/>
      </c>
      <c r="J3" s="23" t="n"/>
      <c r="K3" s="23" t="n"/>
      <c r="L3" s="23" t="n"/>
      <c r="M3" s="23" t="n"/>
      <c r="N3" s="149" t="n"/>
      <c r="O3" s="24" t="n"/>
      <c r="P3" s="46">
        <f>(SUM(P4,P11,P16,P28,P56,P65,P67,P74,P76,P112,P136,P156)/12)</f>
        <v/>
      </c>
      <c r="Q3" s="24" t="n"/>
      <c r="R3" s="24" t="n"/>
      <c r="S3" s="24" t="n"/>
      <c r="T3" s="24" t="n"/>
      <c r="U3" s="25" t="n"/>
      <c r="V3" s="149" t="n"/>
      <c r="W3" s="149" t="n"/>
      <c r="X3" s="150" t="n"/>
      <c r="Y3" s="149" t="n"/>
    </row>
    <row r="4" customFormat="1" s="92">
      <c r="A4" s="88" t="n"/>
      <c r="B4" s="93" t="inlineStr">
        <is>
          <t>Phase #1</t>
        </is>
      </c>
      <c r="C4" s="129" t="inlineStr">
        <is>
          <t>Core Design &amp; Share Library</t>
        </is>
      </c>
      <c r="D4" s="150" t="n"/>
      <c r="E4" s="89" t="n"/>
      <c r="F4" s="89" t="n"/>
      <c r="G4" s="89" t="n"/>
      <c r="H4" s="89" t="n"/>
      <c r="I4" s="90">
        <f>SUM(I5:I10)/5</f>
        <v/>
      </c>
      <c r="J4" s="89" t="n"/>
      <c r="K4" s="89" t="n"/>
      <c r="L4" s="89" t="n"/>
      <c r="M4" s="89" t="n"/>
      <c r="N4" s="89" t="n"/>
      <c r="O4" s="89" t="n"/>
      <c r="P4" s="90">
        <f>SUM(P5:P10)/6</f>
        <v/>
      </c>
      <c r="Q4" s="89" t="n"/>
      <c r="R4" s="89" t="n"/>
      <c r="S4" s="89" t="n"/>
      <c r="T4" s="89" t="n"/>
      <c r="U4" s="89" t="n"/>
      <c r="V4" s="89" t="n"/>
      <c r="W4" s="89" t="n"/>
      <c r="X4" s="89" t="n"/>
      <c r="Y4" s="91" t="n"/>
    </row>
    <row r="5" ht="24.75" customHeight="1">
      <c r="A5" s="3" t="n">
        <v>1</v>
      </c>
      <c r="B5" s="80" t="n"/>
      <c r="C5" s="6" t="n"/>
      <c r="D5" s="55" t="inlineStr">
        <is>
          <t>MQ Connector/Consumer</t>
        </is>
      </c>
      <c r="E5" s="27" t="inlineStr">
        <is>
          <t>Link</t>
        </is>
      </c>
      <c r="F5" s="27" t="inlineStr">
        <is>
          <t>Link</t>
        </is>
      </c>
      <c r="G5" s="3" t="inlineStr">
        <is>
          <t>SRM</t>
        </is>
      </c>
      <c r="H5" s="22" t="inlineStr">
        <is>
          <t>Done</t>
        </is>
      </c>
      <c r="I5" s="47" t="n">
        <v>1</v>
      </c>
      <c r="J5" s="3">
        <f>IF(H5="Done","Done",
   IF(L5=TODAY(),"Due",
      IF(L5&lt;TODAY(),"Overdue",
         IF(AND(L5&gt;TODAY(),L5&lt;=TODAY()+5),"Upcoming","OnTrack"))))</f>
        <v/>
      </c>
      <c r="K5" s="3" t="inlineStr">
        <is>
          <t>Sudtida &lt;Dai&gt; J.</t>
        </is>
      </c>
      <c r="L5" s="13" t="n">
        <v>45902</v>
      </c>
      <c r="M5" s="13" t="n">
        <v>45919</v>
      </c>
      <c r="N5" s="13" t="n">
        <v>45919</v>
      </c>
      <c r="O5" s="22" t="inlineStr">
        <is>
          <t>Done</t>
        </is>
      </c>
      <c r="P5" s="48" t="n">
        <v>1</v>
      </c>
      <c r="Q5" s="3">
        <f>IF(O5="Not Start","Not Start",
   IF(AND(O5="Done",U5&gt;T5),"Done with Overdue",
      IF(O5="Done","Done",
         IF(T5=TODAY(),"Due",
            IF(T5&lt;TODAY(),"Overdue",
               IF(AND(T5&gt;TODAY(),T5&lt;=TODAY()+5),"Upcoming","On Track"))))))</f>
        <v/>
      </c>
      <c r="R5" s="3" t="inlineStr">
        <is>
          <t>Suphachai &lt;To&gt; S.</t>
        </is>
      </c>
      <c r="S5" s="13" t="n">
        <v>45912</v>
      </c>
      <c r="T5" s="13" t="n">
        <v>45926</v>
      </c>
      <c r="U5" s="13" t="n">
        <v>45931</v>
      </c>
      <c r="V5" s="13" t="n">
        <v>45908</v>
      </c>
      <c r="W5" s="13" t="n">
        <v>45918</v>
      </c>
      <c r="X5" s="51" t="inlineStr">
        <is>
          <t>01/10/2025 : Approved
Remark : ขอให้รวบรวม Database design ,Data Dict รวมกันกับ Module อื่นๆด้วยครับ</t>
        </is>
      </c>
      <c r="Y5" s="35" t="n"/>
    </row>
    <row r="6" ht="62.25" customHeight="1">
      <c r="A6" s="3" t="n">
        <v>2</v>
      </c>
      <c r="B6" s="62" t="n"/>
      <c r="C6" s="7" t="n"/>
      <c r="D6" s="56" t="inlineStr">
        <is>
          <t>General Upload Data Page</t>
        </is>
      </c>
      <c r="E6" s="27" t="inlineStr">
        <is>
          <t>Link</t>
        </is>
      </c>
      <c r="F6" s="27" t="inlineStr">
        <is>
          <t>Link</t>
        </is>
      </c>
      <c r="G6" s="3" t="inlineStr">
        <is>
          <t>WST</t>
        </is>
      </c>
      <c r="H6" s="22" t="inlineStr">
        <is>
          <t>Done</t>
        </is>
      </c>
      <c r="I6" s="47" t="n">
        <v>1</v>
      </c>
      <c r="J6" s="3">
        <f>IF(H6="Done","Done",
   IF(L6=TODAY(),"Due",
      IF(L6&lt;TODAY(),"Overdue",
         IF(AND(L6&gt;TODAY(),L6&lt;=TODAY()+5),"Upcoming","OnTrack"))))</f>
        <v/>
      </c>
      <c r="K6" s="3" t="inlineStr">
        <is>
          <t>Thitipa &lt;May&gt; P.</t>
        </is>
      </c>
      <c r="L6" s="13" t="n">
        <v>45922</v>
      </c>
      <c r="M6" s="13" t="n">
        <v>45923</v>
      </c>
      <c r="N6" s="13" t="n">
        <v>45925</v>
      </c>
      <c r="O6" s="22" t="inlineStr">
        <is>
          <t>Done</t>
        </is>
      </c>
      <c r="P6" s="48" t="n">
        <v>1</v>
      </c>
      <c r="Q6" s="3">
        <f>IF(O6="Not Start","Not Start",
   IF(AND(O6="Done",U6&gt;T6),"Done with Overdue",
      IF(O6="Done","Done",
         IF(T6=TODAY(),"Due",
            IF(T6&lt;TODAY(),"Overdue",
               IF(AND(T6&gt;TODAY(),T6&lt;=TODAY()+5),"Upcoming","On Track"))))))</f>
        <v/>
      </c>
      <c r="R6" s="3" t="inlineStr">
        <is>
          <t>Suphachai &lt;To&gt; S.</t>
        </is>
      </c>
      <c r="S6" s="13" t="n">
        <v>45930</v>
      </c>
      <c r="T6" s="13" t="n">
        <v>45933</v>
      </c>
      <c r="U6" s="13" t="n">
        <v>45933</v>
      </c>
      <c r="V6" s="3" t="n"/>
      <c r="W6" s="3" t="n"/>
      <c r="X6" s="51" t="inlineStr">
        <is>
          <t>30/09/2025 : Review detail design :ขอข้อมูลเพิ่ม
ขอข้อมูล Table design ที่จะนำข้อมูล insert ใน function นี้ หรือใส่รวมเป็นภาพใหญ่ก็ได้
ขอข้อมูล CMService ว่า Retry, Timeout ,handling อย่างไร
03/10/2025 : Approved
Remark : ขอให้รวบรวม Database design ,Data Dict รวมกันกับ Module อื่นๆด้วยครับ</t>
        </is>
      </c>
      <c r="Y6" s="35" t="n"/>
    </row>
    <row r="7" ht="24.75" customHeight="1">
      <c r="A7" s="3" t="n">
        <v>3</v>
      </c>
      <c r="B7" s="62" t="n"/>
      <c r="C7" s="7" t="n"/>
      <c r="D7" s="56" t="inlineStr">
        <is>
          <t>General Interface File (รวมกับ MQ Connector/Consumer)</t>
        </is>
      </c>
      <c r="E7" s="27" t="inlineStr">
        <is>
          <t>Link</t>
        </is>
      </c>
      <c r="F7" s="27" t="inlineStr">
        <is>
          <t>Link</t>
        </is>
      </c>
      <c r="G7" s="3" t="inlineStr">
        <is>
          <t>SRM</t>
        </is>
      </c>
      <c r="H7" s="38" t="inlineStr">
        <is>
          <t>Done</t>
        </is>
      </c>
      <c r="I7" s="47" t="n">
        <v>1</v>
      </c>
      <c r="J7" s="3">
        <f>IF(H7="Done","Done",
   IF(L7=TODAY(),"Due",
      IF(L7&lt;TODAY(),"Overdue",
         IF(AND(L7&gt;TODAY(),L7&lt;=TODAY()+5),"Upcoming","OnTrack"))))</f>
        <v/>
      </c>
      <c r="K7" s="14" t="inlineStr">
        <is>
          <t>Sudtida &lt;Dai&gt; J.</t>
        </is>
      </c>
      <c r="L7" s="13" t="n">
        <v>45912</v>
      </c>
      <c r="M7" s="13" t="n">
        <v>45919</v>
      </c>
      <c r="N7" s="13" t="n">
        <v>45919</v>
      </c>
      <c r="O7" s="22" t="inlineStr">
        <is>
          <t>Done</t>
        </is>
      </c>
      <c r="P7" s="48" t="n">
        <v>1</v>
      </c>
      <c r="Q7" s="3">
        <f>IF(O7="Not Start","Not Start",
   IF(AND(O7="Done",U7&gt;T7),"Done with Overdue",
      IF(O7="Done","Done",
         IF(T7=TODAY(),"Due",
            IF(T7&lt;TODAY(),"Overdue",
               IF(AND(T7&gt;TODAY(),T7&lt;=TODAY()+5),"Upcoming","On Track"))))))</f>
        <v/>
      </c>
      <c r="R7" s="3" t="inlineStr">
        <is>
          <t>Suphachai &lt;To&gt; S.</t>
        </is>
      </c>
      <c r="S7" s="13" t="n">
        <v>45919</v>
      </c>
      <c r="T7" s="13" t="n">
        <v>45926</v>
      </c>
      <c r="U7" s="13" t="n">
        <v>45931</v>
      </c>
      <c r="V7" s="13" t="n">
        <v>45908</v>
      </c>
      <c r="W7" s="13" t="n">
        <v>45918</v>
      </c>
      <c r="X7" s="51" t="inlineStr">
        <is>
          <t>01/10/2025 : Approved
Remark : ขอให้รวบรวม Database design ,Data Dict รวมกันกับ Module อื่นๆด้วยครับ</t>
        </is>
      </c>
      <c r="Y7" s="35" t="n"/>
    </row>
    <row r="8" ht="62.25" customHeight="1">
      <c r="A8" s="3" t="n">
        <v>4</v>
      </c>
      <c r="B8" s="62" t="n"/>
      <c r="C8" s="7" t="n"/>
      <c r="D8" s="57" t="inlineStr">
        <is>
          <t>General CM Integration (CRUD CM)</t>
        </is>
      </c>
      <c r="E8" s="27" t="inlineStr">
        <is>
          <t>Link</t>
        </is>
      </c>
      <c r="F8" s="27" t="inlineStr">
        <is>
          <t>Link</t>
        </is>
      </c>
      <c r="G8" s="3" t="inlineStr">
        <is>
          <t>WST</t>
        </is>
      </c>
      <c r="H8" s="22" t="inlineStr">
        <is>
          <t>Done</t>
        </is>
      </c>
      <c r="I8" s="47" t="n">
        <v>1</v>
      </c>
      <c r="J8" s="3">
        <f>IF(H8="Done","Done",
   IF(L8=TODAY(),"Due",
      IF(L8&lt;TODAY(),"Overdue",
         IF(AND(L8&gt;TODAY(),L8&lt;=TODAY()+5),"Upcoming","OnTrack"))))</f>
        <v/>
      </c>
      <c r="K8" s="3" t="inlineStr">
        <is>
          <t>Thitipa &lt;May&gt; P.</t>
        </is>
      </c>
      <c r="L8" s="13" t="n">
        <v>45922</v>
      </c>
      <c r="M8" s="13" t="n">
        <v>45923</v>
      </c>
      <c r="N8" s="13" t="n">
        <v>45925</v>
      </c>
      <c r="O8" s="22" t="inlineStr">
        <is>
          <t>Done</t>
        </is>
      </c>
      <c r="P8" s="48" t="n">
        <v>1</v>
      </c>
      <c r="Q8" s="3">
        <f>IF(O8="Not Start","Not Start",
   IF(AND(O8="Done",U8&gt;T8),"Done with Overdue",
      IF(O8="Done","Done",
         IF(T8=TODAY(),"Due",
            IF(T8&lt;TODAY(),"Overdue",
               IF(AND(T8&gt;TODAY(),T8&lt;=TODAY()+5),"Upcoming","On Track"))))))</f>
        <v/>
      </c>
      <c r="R8" s="3" t="inlineStr">
        <is>
          <t>Suphachai &lt;To&gt; S.</t>
        </is>
      </c>
      <c r="S8" s="13" t="n">
        <v>45926</v>
      </c>
      <c r="T8" s="13" t="n">
        <v>45933</v>
      </c>
      <c r="U8" s="13" t="n">
        <v>45933</v>
      </c>
      <c r="V8" s="3" t="n"/>
      <c r="W8" s="3" t="n"/>
      <c r="X8" s="51" t="inlineStr">
        <is>
          <t>30/09/2025 : Review detail design :ขอข้อมูลเพิ่ม
ขอข้อมูล Table design ที่จะนำข้อมูล insert ใน function นี้ หรือใส่รวมเป็นภาพใหญ่ก็ได้
ขอข้อมูล CMService ว่า Retry, Timeout ,handling อย่างไร
03/10/2025 : Approved
Remark : ขอให้รวบรวม Database design ,Data Dict รวมกันกับ Module อื่นๆด้วยครับ</t>
        </is>
      </c>
      <c r="Y8" s="35" t="n"/>
    </row>
    <row r="9" hidden="1" ht="15" customHeight="1">
      <c r="A9" s="3" t="n">
        <v>5</v>
      </c>
      <c r="B9" s="62" t="n"/>
      <c r="C9" s="7" t="n"/>
      <c r="D9" s="56" t="inlineStr">
        <is>
          <t>Legacy Sync (Integrate กับระบบเดิม)</t>
        </is>
      </c>
      <c r="E9" s="3" t="n"/>
      <c r="F9" s="3" t="n"/>
      <c r="G9" s="3" t="inlineStr">
        <is>
          <t>SRM</t>
        </is>
      </c>
      <c r="H9" s="21" t="inlineStr">
        <is>
          <t>Process</t>
        </is>
      </c>
      <c r="I9" s="48" t="n">
        <v>0</v>
      </c>
      <c r="J9" s="3">
        <f>IF(H9="Done","Done",
   IF(L9=TODAY(),"Due",
      IF(L9&lt;TODAY(),"Overdue",
         IF(AND(L9&gt;TODAY(),L9&lt;=TODAY()+5),"Upcoming","OnTrack"))))</f>
        <v/>
      </c>
      <c r="K9" s="3" t="inlineStr">
        <is>
          <t>Sudtida &lt;Dai&gt; J.</t>
        </is>
      </c>
      <c r="L9" s="13" t="n">
        <v>46022</v>
      </c>
      <c r="M9" s="13" t="n"/>
      <c r="N9" s="3" t="n"/>
      <c r="O9" s="3" t="inlineStr">
        <is>
          <t>Not Start</t>
        </is>
      </c>
      <c r="P9" s="48" t="n">
        <v>0</v>
      </c>
      <c r="Q9" s="3">
        <f>IF(O9="Not Start","Not Start",
   IF(AND(O9="Done",U9&gt;T9),"Done with Overdue",
      IF(O9="Done","Done",
         IF(T9=TODAY(),"Due",
            IF(T9&lt;TODAY(),"Overdue",
               IF(AND(T9&gt;TODAY(),T9&lt;=TODAY()+5),"Upcoming","On Track"))))))</f>
        <v/>
      </c>
      <c r="R9" s="3" t="inlineStr">
        <is>
          <t>Suphachai &lt;To&gt; S.</t>
        </is>
      </c>
      <c r="S9" s="13" t="n">
        <v>45919</v>
      </c>
      <c r="T9" s="13" t="n"/>
      <c r="U9" s="3" t="n"/>
      <c r="V9" s="3" t="n"/>
      <c r="W9" s="3" t="n"/>
      <c r="X9" s="3" t="n"/>
      <c r="Y9" s="35" t="n"/>
    </row>
    <row r="10" ht="24.75" customHeight="1">
      <c r="A10" s="9" t="n">
        <v>6</v>
      </c>
      <c r="B10" s="74" t="n"/>
      <c r="C10" s="8" t="n"/>
      <c r="D10" s="54" t="inlineStr">
        <is>
          <t>Workflow Engine</t>
        </is>
      </c>
      <c r="E10" s="27" t="inlineStr">
        <is>
          <t>Link</t>
        </is>
      </c>
      <c r="F10" s="27" t="inlineStr">
        <is>
          <t>Link</t>
        </is>
      </c>
      <c r="G10" s="26" t="inlineStr">
        <is>
          <t>SRM</t>
        </is>
      </c>
      <c r="H10" s="22" t="inlineStr">
        <is>
          <t>Done</t>
        </is>
      </c>
      <c r="I10" s="47" t="n">
        <v>1</v>
      </c>
      <c r="J10" s="3">
        <f>IF(H10="Done","Done",
   IF(L10=TODAY(),"Due",
      IF(L10&lt;TODAY(),"Overdue",
         IF(AND(L10&gt;TODAY(),L10&lt;=TODAY()+5),"Upcoming","OnTrack"))))</f>
        <v/>
      </c>
      <c r="K10" s="14" t="inlineStr">
        <is>
          <t>Sukol &lt;Fei&gt; K.</t>
        </is>
      </c>
      <c r="L10" s="13" t="n">
        <v>45903</v>
      </c>
      <c r="M10" s="13" t="n">
        <v>45919</v>
      </c>
      <c r="N10" s="13" t="n">
        <v>45919</v>
      </c>
      <c r="O10" s="22" t="inlineStr">
        <is>
          <t>Done</t>
        </is>
      </c>
      <c r="P10" s="48" t="n">
        <v>1</v>
      </c>
      <c r="Q10" s="3">
        <f>IF(O10="Not Start","Not Start",
   IF(AND(O10="Done",U10&gt;T10),"Done with Overdue",
      IF(O10="Done","Done",
         IF(T10=TODAY(),"Due",
            IF(T10&lt;TODAY(),"Overdue",
               IF(AND(T10&gt;TODAY(),T10&lt;=TODAY()+5),"Upcoming","On Track"))))))</f>
        <v/>
      </c>
      <c r="R10" s="3" t="inlineStr">
        <is>
          <t>Suphachai &lt;To&gt; S.</t>
        </is>
      </c>
      <c r="S10" s="13" t="n">
        <v>45912</v>
      </c>
      <c r="T10" s="13" t="n">
        <v>45926</v>
      </c>
      <c r="U10" s="13" t="n">
        <v>45931</v>
      </c>
      <c r="V10" s="13" t="n">
        <v>45908</v>
      </c>
      <c r="W10" s="13" t="n">
        <v>45925</v>
      </c>
      <c r="X10" s="51" t="inlineStr">
        <is>
          <t>01/10/2025 : Approved
Remark : ขอให้รวบรวม Database design ,Data Dict รวมกันกับ Module อื่นๆด้วยครับ</t>
        </is>
      </c>
      <c r="Y10" s="35" t="n"/>
    </row>
    <row r="11" ht="15" customHeight="1">
      <c r="A11" s="10" t="n"/>
      <c r="B11" s="94" t="inlineStr">
        <is>
          <t>Phase #1</t>
        </is>
      </c>
      <c r="C11" s="131" t="inlineStr">
        <is>
          <t>SBP Mall Portal</t>
        </is>
      </c>
      <c r="D11" s="151" t="n"/>
      <c r="E11" s="3" t="n"/>
      <c r="F11" s="3" t="n"/>
      <c r="G11" s="3" t="n"/>
      <c r="H11" s="3" t="n"/>
      <c r="I11" s="45">
        <f>(SUM(I12:I15)/4)</f>
        <v/>
      </c>
      <c r="J11" s="3" t="n"/>
      <c r="K11" s="3" t="n"/>
      <c r="L11" s="13" t="n"/>
      <c r="M11" s="13" t="n"/>
      <c r="N11" s="3" t="n"/>
      <c r="O11" s="3" t="n"/>
      <c r="P11" s="45">
        <f>(SUM(P12:P15)/5)</f>
        <v/>
      </c>
      <c r="Q11" s="3" t="n"/>
      <c r="R11" s="3" t="n"/>
      <c r="S11" s="13" t="n"/>
      <c r="T11" s="13" t="n"/>
      <c r="U11" s="3" t="n"/>
      <c r="V11" s="3" t="n"/>
      <c r="W11" s="3" t="n"/>
      <c r="X11" s="3" t="n"/>
      <c r="Y11" s="35" t="n"/>
    </row>
    <row r="12" ht="24.75" customHeight="1">
      <c r="A12" s="3" t="n">
        <v>7</v>
      </c>
      <c r="B12" s="80" t="n"/>
      <c r="C12" s="7" t="n"/>
      <c r="D12" s="34" t="inlineStr">
        <is>
          <t>Authentication</t>
        </is>
      </c>
      <c r="E12" s="27" t="inlineStr">
        <is>
          <t>Link</t>
        </is>
      </c>
      <c r="F12" s="27" t="inlineStr">
        <is>
          <t>Link</t>
        </is>
      </c>
      <c r="G12" s="3" t="inlineStr">
        <is>
          <t>DEP</t>
        </is>
      </c>
      <c r="H12" s="22" t="inlineStr">
        <is>
          <t>Done</t>
        </is>
      </c>
      <c r="I12" s="47" t="n">
        <v>1</v>
      </c>
      <c r="J12" s="3">
        <f>IF(H12="Done","Done",
   IF(L12=TODAY(),"Due",
      IF(L12&lt;TODAY(),"Overdue",
         IF(AND(L12&gt;TODAY(),L12&lt;=TODAY()+5),"Upcoming","OnTrack"))))</f>
        <v/>
      </c>
      <c r="K12" s="3" t="inlineStr">
        <is>
          <t>Sithisak &lt;Nok&gt; J.</t>
        </is>
      </c>
      <c r="L12" s="13" t="n">
        <v>45898</v>
      </c>
      <c r="M12" s="13" t="n">
        <v>45901</v>
      </c>
      <c r="N12" s="13" t="n">
        <v>45901</v>
      </c>
      <c r="O12" s="22" t="inlineStr">
        <is>
          <t>Done</t>
        </is>
      </c>
      <c r="P12" s="48" t="n">
        <v>1</v>
      </c>
      <c r="Q12" s="3">
        <f>IF(O12="Not Start","Not Start",
   IF(AND(O12="Done",U12&gt;T12),"Done with Overdue",
      IF(O12="Done","Done",
         IF(T12=TODAY(),"Due",
            IF(T12&lt;TODAY(),"Overdue",
               IF(AND(T12&gt;TODAY(),T12&lt;=TODAY()+5),"Upcoming","On Track"))))))</f>
        <v/>
      </c>
      <c r="R12" s="3" t="inlineStr">
        <is>
          <t>Suphachai &lt;To&gt; S.</t>
        </is>
      </c>
      <c r="S12" s="13" t="n">
        <v>45905</v>
      </c>
      <c r="T12" s="13" t="n">
        <v>45905</v>
      </c>
      <c r="U12" s="13" t="n">
        <v>45931</v>
      </c>
      <c r="V12" s="13" t="n">
        <v>45918</v>
      </c>
      <c r="W12" s="13" t="n">
        <v>45989</v>
      </c>
      <c r="X12" s="50" t="inlineStr">
        <is>
          <t>18/09/2025 : เริ่ม Dev ในส่วนที่ทำได้ก่อน เนื่องจากทาง Solar ยังไม่ Feedback
01/10/2025 : Approved</t>
        </is>
      </c>
      <c r="Y12" s="35" t="n"/>
    </row>
    <row r="13" ht="50.25" customHeight="1">
      <c r="A13" s="3" t="n">
        <v>8</v>
      </c>
      <c r="B13" s="62" t="n"/>
      <c r="C13" s="7" t="n"/>
      <c r="D13" s="53" t="inlineStr">
        <is>
          <t>SIV</t>
        </is>
      </c>
      <c r="E13" s="27" t="inlineStr">
        <is>
          <t>Link</t>
        </is>
      </c>
      <c r="F13" s="27" t="inlineStr">
        <is>
          <t>Link</t>
        </is>
      </c>
      <c r="G13" s="3" t="inlineStr">
        <is>
          <t>DEP</t>
        </is>
      </c>
      <c r="H13" s="22" t="inlineStr">
        <is>
          <t>Done</t>
        </is>
      </c>
      <c r="I13" s="47" t="n">
        <v>1</v>
      </c>
      <c r="J13" s="3">
        <f>IF(H13="Done","Done",
   IF(L13=TODAY(),"Due",
      IF(L13&lt;TODAY(),"Overdue",
         IF(AND(L13&gt;TODAY(),L13&lt;=TODAY()+5),"Upcoming","OnTrack"))))</f>
        <v/>
      </c>
      <c r="K13" s="3" t="inlineStr">
        <is>
          <t>Sithisak &lt;Nok&gt; J.</t>
        </is>
      </c>
      <c r="L13" s="13" t="n">
        <v>45905</v>
      </c>
      <c r="M13" s="13" t="n">
        <v>45905</v>
      </c>
      <c r="N13" s="13" t="n">
        <v>45905</v>
      </c>
      <c r="O13" s="22" t="inlineStr">
        <is>
          <t>Done</t>
        </is>
      </c>
      <c r="P13" s="48" t="n">
        <v>1</v>
      </c>
      <c r="Q13" s="3">
        <f>IF(O13="Not Start","Not Start",
   IF(AND(O13="Done",U13&gt;T13),"Done with Overdue",
      IF(O13="Done","Done",
         IF(T13=TODAY(),"Due",
            IF(T13&lt;TODAY(),"Overdue",
               IF(AND(T13&gt;TODAY(),T13&lt;=TODAY()+5),"Upcoming","On Track"))))))</f>
        <v/>
      </c>
      <c r="R13" s="3" t="inlineStr">
        <is>
          <t>Suphachai &lt;To&gt; S.</t>
        </is>
      </c>
      <c r="S13" s="13" t="n">
        <v>45915</v>
      </c>
      <c r="T13" s="13" t="n">
        <v>45915</v>
      </c>
      <c r="U13" s="13" t="n">
        <v>45930</v>
      </c>
      <c r="V13" s="13" t="n">
        <v>45918</v>
      </c>
      <c r="W13" s="13" t="n">
        <v>45989</v>
      </c>
      <c r="X13" s="50" t="inlineStr">
        <is>
          <t>18/09/2025 : เริ่ม Dev ในส่วนที่ทำได้ก่อน เนื่องจากทาง Solar ยังไม่ Feedback
30/09/2025 : Approved &gt; มีความเห็นเสริมว่า
- เป็น Function ที่มี PII Data และออก internet ควรพิจาณาเรื่องการทำ Pen test ด้วย
- Table ใน function นี้ ควรรวบรวมเป็น  Database Design ภาพรวมด้วย</t>
        </is>
      </c>
      <c r="Y13" s="35" t="n"/>
    </row>
    <row r="14" ht="37.5" customHeight="1">
      <c r="A14" s="3" t="n">
        <v>9</v>
      </c>
      <c r="B14" s="62" t="n"/>
      <c r="C14" s="7" t="n"/>
      <c r="D14" s="31" t="inlineStr">
        <is>
          <t>SML</t>
        </is>
      </c>
      <c r="E14" s="27" t="inlineStr">
        <is>
          <t>Link</t>
        </is>
      </c>
      <c r="F14" s="27" t="inlineStr">
        <is>
          <t>Link</t>
        </is>
      </c>
      <c r="G14" s="3" t="inlineStr">
        <is>
          <t>DEP</t>
        </is>
      </c>
      <c r="H14" s="22" t="inlineStr">
        <is>
          <t>Done</t>
        </is>
      </c>
      <c r="I14" s="47" t="n">
        <v>1</v>
      </c>
      <c r="J14" s="3">
        <f>IF(H14="Done","Done",
   IF(L14=TODAY(),"Due",
      IF(L14&lt;TODAY(),"Overdue",
         IF(AND(L14&gt;TODAY(),L14&lt;=TODAY()+5),"Upcoming","OnTrack"))))</f>
        <v/>
      </c>
      <c r="K14" s="3" t="inlineStr">
        <is>
          <t>Sithisak &lt;Nok&gt; J.</t>
        </is>
      </c>
      <c r="L14" s="13" t="n">
        <v>45931</v>
      </c>
      <c r="M14" s="13" t="n">
        <v>45932</v>
      </c>
      <c r="N14" s="13" t="n">
        <v>45932</v>
      </c>
      <c r="O14" s="22" t="inlineStr">
        <is>
          <t>Done</t>
        </is>
      </c>
      <c r="P14" s="48" t="n">
        <v>1</v>
      </c>
      <c r="Q14" s="3">
        <f>IF(O14="Not Start","Not Start",
   IF(AND(O14="Done",U14&gt;T14),"Done with Overdue",
      IF(O14="Done","Done",
         IF(T14=TODAY(),"Due",
            IF(T14&lt;TODAY(),"Overdue",
               IF(AND(T14&gt;TODAY(),T14&lt;=TODAY()+5),"Upcoming","On Track"))))))</f>
        <v/>
      </c>
      <c r="R14" s="3" t="inlineStr">
        <is>
          <t>Suphachai &lt;To&gt; S.</t>
        </is>
      </c>
      <c r="S14" s="13" t="n">
        <v>45939</v>
      </c>
      <c r="T14" s="13" t="n">
        <v>45940</v>
      </c>
      <c r="U14" s="13" t="n">
        <v>45951</v>
      </c>
      <c r="V14" s="13" t="n">
        <v>45918</v>
      </c>
      <c r="W14" s="13" t="n">
        <v>45989</v>
      </c>
      <c r="X14" s="51" t="inlineStr">
        <is>
          <t>21/10/2025 : Approved
Remark :มีการขอให้คุณนกแก้ไข เอกสารเพื่อเพิ่มข้อมูล และ Review ที่ version : TSM-TEM-LLDD_SBP_MALL_Web-1.1.pdf</t>
        </is>
      </c>
      <c r="Y14" s="35" t="n"/>
    </row>
    <row r="15" ht="24.75" customHeight="1">
      <c r="A15" s="3" t="n">
        <v>10</v>
      </c>
      <c r="B15" s="62" t="n"/>
      <c r="C15" s="7" t="n"/>
      <c r="D15" s="31" t="inlineStr">
        <is>
          <t>SBPM</t>
        </is>
      </c>
      <c r="E15" s="27" t="inlineStr">
        <is>
          <t>Link</t>
        </is>
      </c>
      <c r="F15" s="27" t="inlineStr">
        <is>
          <t>Link</t>
        </is>
      </c>
      <c r="G15" s="3" t="inlineStr">
        <is>
          <t>DEP</t>
        </is>
      </c>
      <c r="H15" s="22" t="inlineStr">
        <is>
          <t>Done</t>
        </is>
      </c>
      <c r="I15" s="47" t="n">
        <v>1</v>
      </c>
      <c r="J15" s="3">
        <f>IF(H15="Done","Done",
   IF(L15=TODAY(),"Due",
      IF(L15&lt;TODAY(),"Overdue",
         IF(AND(L15&gt;TODAY(),L15&lt;=TODAY()+5),"Upcoming","OnTrack"))))</f>
        <v/>
      </c>
      <c r="K15" s="3" t="inlineStr">
        <is>
          <t>Sithisak &lt;Nok&gt; J.</t>
        </is>
      </c>
      <c r="L15" s="13" t="n">
        <v>45960</v>
      </c>
      <c r="M15" s="13" t="n">
        <v>45964</v>
      </c>
      <c r="N15" s="13" t="n">
        <v>45964</v>
      </c>
      <c r="O15" s="22" t="inlineStr">
        <is>
          <t>Done</t>
        </is>
      </c>
      <c r="P15" s="48" t="n">
        <v>1</v>
      </c>
      <c r="Q15" s="3">
        <f>IF(O15="Not Start","Not Start",
   IF(AND(O15="Done",U15&gt;T15),"Done with Overdue",
      IF(O15="Done","Done",
         IF(T15=TODAY(),"Due",
            IF(T15&lt;TODAY(),"Overdue",
               IF(AND(T15&gt;TODAY(),T15&lt;=TODAY()+5),"Upcoming","On Track"))))))</f>
        <v/>
      </c>
      <c r="R15" s="3" t="inlineStr">
        <is>
          <t>Suphachai &lt;To&gt; S.</t>
        </is>
      </c>
      <c r="S15" s="13" t="n">
        <v>45968</v>
      </c>
      <c r="T15" s="13" t="n">
        <v>45971</v>
      </c>
      <c r="U15" s="13" t="n">
        <v>45994</v>
      </c>
      <c r="V15" s="13" t="n">
        <v>45918</v>
      </c>
      <c r="W15" s="13" t="n">
        <v>45989</v>
      </c>
      <c r="X15" s="51" t="inlineStr">
        <is>
          <t>03/12/2025 : Approved
Remark :จะ review เรื่องการส่ง email ที่ email service ต่อ</t>
        </is>
      </c>
      <c r="Y15" s="35" t="n"/>
    </row>
    <row r="16" ht="15" customHeight="1">
      <c r="A16" s="3" t="n"/>
      <c r="B16" s="93" t="inlineStr">
        <is>
          <t>Phase #3</t>
        </is>
      </c>
      <c r="C16" s="131" t="inlineStr">
        <is>
          <t>1. Store Partner Management</t>
        </is>
      </c>
      <c r="D16" s="132" t="n"/>
      <c r="E16" s="3" t="n"/>
      <c r="F16" s="3" t="n"/>
      <c r="G16" s="3" t="n"/>
      <c r="H16" s="3" t="n"/>
      <c r="I16" s="45">
        <f>(SUM(I17:I27)/9)</f>
        <v/>
      </c>
      <c r="J16" s="3" t="n"/>
      <c r="K16" s="3" t="n"/>
      <c r="L16" s="42" t="n"/>
      <c r="M16" s="13" t="n"/>
      <c r="N16" s="3" t="n"/>
      <c r="O16" s="3" t="n"/>
      <c r="P16" s="45">
        <f>(SUM(P22:P27)/6)</f>
        <v/>
      </c>
      <c r="Q16" s="3" t="n"/>
      <c r="R16" s="3" t="n"/>
      <c r="S16" s="13" t="n"/>
      <c r="T16" s="13" t="n"/>
      <c r="U16" s="3" t="n"/>
      <c r="V16" s="3" t="n"/>
      <c r="W16" s="3" t="n"/>
      <c r="X16" s="3" t="n"/>
      <c r="Y16" s="35" t="n"/>
    </row>
    <row r="17" ht="50.25" customHeight="1">
      <c r="A17" s="3" t="n">
        <v>11</v>
      </c>
      <c r="B17" s="62" t="n"/>
      <c r="C17" s="7" t="n"/>
      <c r="D17" s="101" t="inlineStr">
        <is>
          <t>Integration (Store Master, CM)</t>
        </is>
      </c>
      <c r="E17" s="27" t="inlineStr">
        <is>
          <t>Link</t>
        </is>
      </c>
      <c r="F17" s="3" t="n"/>
      <c r="G17" s="29" t="inlineStr">
        <is>
          <t>SRM</t>
        </is>
      </c>
      <c r="H17" s="22" t="inlineStr">
        <is>
          <t>Done</t>
        </is>
      </c>
      <c r="I17" s="47" t="n">
        <v>1</v>
      </c>
      <c r="J17" s="3">
        <f>IF(H17="Done","Done",
   IF(L17=TODAY(),"Due",
      IF(L17&lt;TODAY(),"Overdue",
         IF(AND(L17&gt;TODAY(),L17&lt;=TODAY()+5),"Upcoming","OnTrack"))))</f>
        <v/>
      </c>
      <c r="K17" s="40" t="inlineStr">
        <is>
          <t>Sukol &lt;Fei&gt; K.</t>
        </is>
      </c>
      <c r="L17" s="13" t="n">
        <v>45933</v>
      </c>
      <c r="M17" s="13" t="n">
        <v>45939</v>
      </c>
      <c r="N17" s="13" t="n">
        <v>45957</v>
      </c>
      <c r="O17" s="22" t="inlineStr">
        <is>
          <t>Done</t>
        </is>
      </c>
      <c r="P17" s="48" t="n">
        <v>1</v>
      </c>
      <c r="Q17" s="3">
        <f>IF(O17="Not Start","Not Start",
   IF(AND(O17="Done",U17&gt;T17),"Done with Overdue",
      IF(O17="Done","Done",
         IF(T17=TODAY(),"Due",
            IF(T17&lt;TODAY(),"Overdue",
               IF(AND(T17&gt;TODAY(),T17&lt;=TODAY()+5),"Upcoming","On Track"))))))</f>
        <v/>
      </c>
      <c r="R17" s="3" t="inlineStr">
        <is>
          <t>Suphachai &lt;To&gt; S.</t>
        </is>
      </c>
      <c r="S17" s="59" t="n">
        <v>45964</v>
      </c>
      <c r="T17" s="59" t="n">
        <v>45964</v>
      </c>
      <c r="U17" s="13" t="n">
        <v>45981</v>
      </c>
      <c r="V17" s="13" t="n">
        <v>45943</v>
      </c>
      <c r="W17" s="13" t="n">
        <v>45961</v>
      </c>
      <c r="X17" s="100" t="inlineStr">
        <is>
          <t xml:space="preserve">20/11/2025 : อยากให้เพิ่มข้อมูล Interface ของการนำข้อมูลเข้าให้เห็นเป็นราย System 
อยากให้เพิ่มข้อมูล Integration schedule ตาม Integration design
มี Table design สอดคล้องกับ Interface
เห็น handle อื่นๆ ตาม interface </t>
        </is>
      </c>
      <c r="Y17" s="35" t="n"/>
    </row>
    <row r="18" ht="15" customHeight="1">
      <c r="A18" s="3" t="n">
        <v>12</v>
      </c>
      <c r="B18" s="86" t="n"/>
      <c r="C18" s="81" t="n"/>
      <c r="D18" s="83" t="inlineStr">
        <is>
          <t>หน้าจอผู้สนใจลงทุน</t>
        </is>
      </c>
      <c r="E18" s="27" t="inlineStr">
        <is>
          <t>Link</t>
        </is>
      </c>
      <c r="F18" s="27" t="inlineStr">
        <is>
          <t>Link</t>
        </is>
      </c>
      <c r="G18" s="29" t="inlineStr">
        <is>
          <t>SRM</t>
        </is>
      </c>
      <c r="H18" s="22" t="inlineStr">
        <is>
          <t>Done</t>
        </is>
      </c>
      <c r="I18" s="47" t="n">
        <v>1</v>
      </c>
      <c r="J18" s="3">
        <f>IF(H18="Done","Done",
   IF(L18=TODAY(),"Due",
      IF(L18&lt;TODAY(),"Overdue",
         IF(AND(L18&gt;TODAY(),L18&lt;=TODAY()+5),"Upcoming","OnTrack"))))</f>
        <v/>
      </c>
      <c r="K18" s="39" t="inlineStr">
        <is>
          <t>Phanakorn &lt;Champ&gt; R.</t>
        </is>
      </c>
      <c r="L18" s="13" t="n">
        <v>45930</v>
      </c>
      <c r="M18" s="41" t="n">
        <v>46000</v>
      </c>
      <c r="N18" s="41" t="n">
        <v>46000</v>
      </c>
      <c r="O18" s="22" t="inlineStr">
        <is>
          <t>Done</t>
        </is>
      </c>
      <c r="P18" s="48" t="n">
        <v>1</v>
      </c>
      <c r="Q18" s="3">
        <f>IF(O18="Not Start","Not Start",
   IF(AND(O18="Done",U18&gt;T18),"Done with Overdue",
      IF(O18="Done","Done",
         IF(T18=TODAY(),"Due",
            IF(T18&lt;TODAY(),"Overdue",
               IF(AND(T18&gt;TODAY(),T18&lt;=TODAY()+5),"Upcoming","On Track"))))))</f>
        <v/>
      </c>
      <c r="R18" s="3" t="inlineStr">
        <is>
          <t>Suphachai &lt;To&gt; S.</t>
        </is>
      </c>
      <c r="S18" s="13" t="n">
        <v>45919</v>
      </c>
      <c r="T18" s="13" t="n">
        <v>46007</v>
      </c>
      <c r="U18" s="13" t="n">
        <v>46045</v>
      </c>
      <c r="V18" s="13" t="n">
        <v>45915</v>
      </c>
      <c r="W18" s="13" t="n">
        <v>46024</v>
      </c>
      <c r="X18" s="97" t="inlineStr">
        <is>
          <t>23/01/2026 : review detail : approved</t>
        </is>
      </c>
      <c r="Y18" s="35" t="n"/>
    </row>
    <row r="19" ht="15" customHeight="1">
      <c r="A19" s="3" t="n">
        <v>12</v>
      </c>
      <c r="B19" s="86" t="n"/>
      <c r="C19" s="81" t="n"/>
      <c r="D19" s="83" t="inlineStr">
        <is>
          <t>หน้าจอข้อมูลผู้สนใจลงทุน</t>
        </is>
      </c>
      <c r="E19" s="27" t="inlineStr">
        <is>
          <t>Link</t>
        </is>
      </c>
      <c r="F19" s="27" t="inlineStr">
        <is>
          <t>Link</t>
        </is>
      </c>
      <c r="G19" s="29" t="inlineStr">
        <is>
          <t>SRM</t>
        </is>
      </c>
      <c r="H19" s="22" t="inlineStr">
        <is>
          <t>Done</t>
        </is>
      </c>
      <c r="I19" s="47" t="n">
        <v>1</v>
      </c>
      <c r="J19" s="3">
        <f>IF(H19="Done","Done",
   IF(L19=TODAY(),"Due",
      IF(L19&lt;TODAY(),"Overdue",
         IF(AND(L19&gt;TODAY(),L19&lt;=TODAY()+5),"Upcoming","OnTrack"))))</f>
        <v/>
      </c>
      <c r="K19" s="39" t="inlineStr">
        <is>
          <t>Phanakorn &lt;Champ&gt; R.</t>
        </is>
      </c>
      <c r="L19" s="13" t="n">
        <v>45930</v>
      </c>
      <c r="M19" s="41" t="n">
        <v>46000</v>
      </c>
      <c r="N19" s="41" t="n">
        <v>46000</v>
      </c>
      <c r="O19" s="22" t="inlineStr">
        <is>
          <t>Done</t>
        </is>
      </c>
      <c r="P19" s="48" t="n">
        <v>1</v>
      </c>
      <c r="Q19" s="3">
        <f>IF(O19="Not Start","Not Start",
   IF(AND(O19="Done",U19&gt;T19),"Done with Overdue",
      IF(O19="Done","Done",
         IF(T19=TODAY(),"Due",
            IF(T19&lt;TODAY(),"Overdue",
               IF(AND(T19&gt;TODAY(),T19&lt;=TODAY()+5),"Upcoming","On Track"))))))</f>
        <v/>
      </c>
      <c r="R19" s="3" t="inlineStr">
        <is>
          <t>Suphachai &lt;To&gt; S.</t>
        </is>
      </c>
      <c r="S19" s="13" t="n">
        <v>45919</v>
      </c>
      <c r="T19" s="13" t="n">
        <v>46007</v>
      </c>
      <c r="U19" s="13" t="n">
        <v>46045</v>
      </c>
      <c r="V19" s="13" t="n">
        <v>45915</v>
      </c>
      <c r="W19" s="13" t="n">
        <v>46024</v>
      </c>
      <c r="X19" s="97" t="inlineStr">
        <is>
          <t>23/01/2026 : review detail : approved</t>
        </is>
      </c>
      <c r="Y19" s="35" t="n"/>
    </row>
    <row r="20" ht="15" customHeight="1">
      <c r="A20" s="3" t="n">
        <v>12</v>
      </c>
      <c r="B20" s="86" t="n"/>
      <c r="C20" s="81" t="n"/>
      <c r="D20" s="83" t="inlineStr">
        <is>
          <t>หน้าจอค้นหาข้อมูลผู้สนใจพื้นที่ลงทุน</t>
        </is>
      </c>
      <c r="E20" s="27" t="inlineStr">
        <is>
          <t>Link</t>
        </is>
      </c>
      <c r="F20" s="27" t="inlineStr">
        <is>
          <t>Link</t>
        </is>
      </c>
      <c r="G20" s="29" t="inlineStr">
        <is>
          <t>SRM</t>
        </is>
      </c>
      <c r="H20" s="22" t="inlineStr">
        <is>
          <t>Done</t>
        </is>
      </c>
      <c r="I20" s="47" t="n">
        <v>1</v>
      </c>
      <c r="J20" s="3">
        <f>IF(H20="Done","Done",
   IF(L20=TODAY(),"Due",
      IF(L20&lt;TODAY(),"Overdue",
         IF(AND(L20&gt;TODAY(),L20&lt;=TODAY()+5),"Upcoming","OnTrack"))))</f>
        <v/>
      </c>
      <c r="K20" s="39" t="inlineStr">
        <is>
          <t>Phanakorn &lt;Champ&gt; R.</t>
        </is>
      </c>
      <c r="L20" s="13" t="n">
        <v>45930</v>
      </c>
      <c r="M20" s="41" t="n">
        <v>46000</v>
      </c>
      <c r="N20" s="41" t="n">
        <v>46000</v>
      </c>
      <c r="O20" s="22" t="inlineStr">
        <is>
          <t>Done</t>
        </is>
      </c>
      <c r="P20" s="48" t="n">
        <v>1</v>
      </c>
      <c r="Q20" s="3">
        <f>IF(O20="Not Start","Not Start",
   IF(AND(O20="Done",U20&gt;T20),"Done with Overdue",
      IF(O20="Done","Done",
         IF(T20=TODAY(),"Due",
            IF(T20&lt;TODAY(),"Overdue",
               IF(AND(T20&gt;TODAY(),T20&lt;=TODAY()+5),"Upcoming","On Track"))))))</f>
        <v/>
      </c>
      <c r="R20" s="3" t="inlineStr">
        <is>
          <t>Suphachai &lt;To&gt; S.</t>
        </is>
      </c>
      <c r="S20" s="13" t="n">
        <v>45919</v>
      </c>
      <c r="T20" s="13" t="n">
        <v>46007</v>
      </c>
      <c r="U20" s="13" t="n">
        <v>46045</v>
      </c>
      <c r="V20" s="13" t="n">
        <v>45915</v>
      </c>
      <c r="W20" s="13" t="n">
        <v>46024</v>
      </c>
      <c r="X20" s="97" t="inlineStr">
        <is>
          <t>23/01/2026 : review detail : approved</t>
        </is>
      </c>
      <c r="Y20" s="35" t="n"/>
    </row>
    <row r="21" ht="15" customHeight="1">
      <c r="A21" s="3" t="n">
        <v>12</v>
      </c>
      <c r="B21" s="86" t="n"/>
      <c r="C21" s="81" t="n"/>
      <c r="D21" s="83" t="inlineStr">
        <is>
          <t>หน้าจอลงทะเบียนเข้าใช้งาน SBP</t>
        </is>
      </c>
      <c r="E21" s="27" t="inlineStr">
        <is>
          <t>Link</t>
        </is>
      </c>
      <c r="F21" s="27" t="inlineStr">
        <is>
          <t>Link</t>
        </is>
      </c>
      <c r="G21" s="29" t="inlineStr">
        <is>
          <t>SRM</t>
        </is>
      </c>
      <c r="H21" s="22" t="inlineStr">
        <is>
          <t>Done</t>
        </is>
      </c>
      <c r="I21" s="47" t="n">
        <v>1</v>
      </c>
      <c r="J21" s="3">
        <f>IF(H21="Done","Done",
   IF(L21=TODAY(),"Due",
      IF(L21&lt;TODAY(),"Overdue",
         IF(AND(L21&gt;TODAY(),L21&lt;=TODAY()+5),"Upcoming","OnTrack"))))</f>
        <v/>
      </c>
      <c r="K21" s="39" t="inlineStr">
        <is>
          <t>Phanakorn &lt;Champ&gt; R.</t>
        </is>
      </c>
      <c r="L21" s="13" t="n">
        <v>45930</v>
      </c>
      <c r="M21" s="41" t="n">
        <v>46000</v>
      </c>
      <c r="N21" s="41" t="n">
        <v>46000</v>
      </c>
      <c r="O21" s="22" t="inlineStr">
        <is>
          <t>Done</t>
        </is>
      </c>
      <c r="P21" s="48" t="n">
        <v>1</v>
      </c>
      <c r="Q21" s="3">
        <f>IF(O21="Not Start","Not Start",
   IF(AND(O21="Done",U21&gt;T21),"Done with Overdue",
      IF(O21="Done","Done",
         IF(T21=TODAY(),"Due",
            IF(T21&lt;TODAY(),"Overdue",
               IF(AND(T21&gt;TODAY(),T21&lt;=TODAY()+5),"Upcoming","On Track"))))))</f>
        <v/>
      </c>
      <c r="R21" s="3" t="inlineStr">
        <is>
          <t>Suphachai &lt;To&gt; S.</t>
        </is>
      </c>
      <c r="S21" s="13" t="n">
        <v>45919</v>
      </c>
      <c r="T21" s="13" t="n">
        <v>46007</v>
      </c>
      <c r="U21" s="13" t="n">
        <v>46045</v>
      </c>
      <c r="V21" s="13" t="n">
        <v>45915</v>
      </c>
      <c r="W21" s="13" t="n">
        <v>46024</v>
      </c>
      <c r="X21" s="97" t="inlineStr">
        <is>
          <t>23/01/2026 : review detail : approved</t>
        </is>
      </c>
      <c r="Y21" s="35" t="n"/>
    </row>
    <row r="22" ht="15" customHeight="1">
      <c r="A22" s="3" t="n">
        <v>12</v>
      </c>
      <c r="B22" s="86" t="n"/>
      <c r="C22" s="81" t="n"/>
      <c r="D22" s="83" t="inlineStr">
        <is>
          <t>หน้าจอตั้งค่ารหัสผ่านเข้าใช้งาน</t>
        </is>
      </c>
      <c r="E22" s="27" t="inlineStr">
        <is>
          <t>Link</t>
        </is>
      </c>
      <c r="F22" s="27" t="inlineStr">
        <is>
          <t>Link</t>
        </is>
      </c>
      <c r="G22" s="29" t="inlineStr">
        <is>
          <t>SRM</t>
        </is>
      </c>
      <c r="H22" s="22" t="inlineStr">
        <is>
          <t>Done</t>
        </is>
      </c>
      <c r="I22" s="47" t="n">
        <v>1</v>
      </c>
      <c r="J22" s="3">
        <f>IF(H22="Done","Done",
   IF(L22=TODAY(),"Due",
      IF(L22&lt;TODAY(),"Overdue",
         IF(AND(L22&gt;TODAY(),L22&lt;=TODAY()+5),"Upcoming","OnTrack"))))</f>
        <v/>
      </c>
      <c r="K22" s="39" t="inlineStr">
        <is>
          <t>Phanakorn &lt;Champ&gt; R.</t>
        </is>
      </c>
      <c r="L22" s="13" t="n">
        <v>45930</v>
      </c>
      <c r="M22" s="41" t="n">
        <v>46000</v>
      </c>
      <c r="N22" s="41" t="n">
        <v>46000</v>
      </c>
      <c r="O22" s="22" t="inlineStr">
        <is>
          <t>Done</t>
        </is>
      </c>
      <c r="P22" s="48" t="n">
        <v>1</v>
      </c>
      <c r="Q22" s="3">
        <f>IF(O22="Not Start","Not Start",
   IF(AND(O22="Done",U22&gt;T22),"Done with Overdue",
      IF(O22="Done","Done",
         IF(T22=TODAY(),"Due",
            IF(T22&lt;TODAY(),"Overdue",
               IF(AND(T22&gt;TODAY(),T22&lt;=TODAY()+5),"Upcoming","On Track"))))))</f>
        <v/>
      </c>
      <c r="R22" s="3" t="inlineStr">
        <is>
          <t>Suphachai &lt;To&gt; S.</t>
        </is>
      </c>
      <c r="S22" s="13" t="n">
        <v>45919</v>
      </c>
      <c r="T22" s="13" t="n">
        <v>46007</v>
      </c>
      <c r="U22" s="13" t="n">
        <v>46045</v>
      </c>
      <c r="V22" s="13" t="n">
        <v>45915</v>
      </c>
      <c r="W22" s="13" t="n">
        <v>46024</v>
      </c>
      <c r="X22" s="97" t="inlineStr">
        <is>
          <t>23/01/2026 : review detail : approved</t>
        </is>
      </c>
      <c r="Y22" s="35" t="n"/>
    </row>
    <row r="23" ht="15" customHeight="1">
      <c r="A23" s="3" t="n">
        <v>13</v>
      </c>
      <c r="B23" s="86" t="n"/>
      <c r="C23" s="81" t="n"/>
      <c r="D23" s="83" t="inlineStr">
        <is>
          <t>หน้าจอ ค้นหาข้อมูลรายชื่อ Blacklist</t>
        </is>
      </c>
      <c r="E23" s="27" t="inlineStr">
        <is>
          <t>Link</t>
        </is>
      </c>
      <c r="F23" s="27" t="inlineStr">
        <is>
          <t>Link</t>
        </is>
      </c>
      <c r="G23" s="29" t="inlineStr">
        <is>
          <t>SRM</t>
        </is>
      </c>
      <c r="H23" s="22" t="inlineStr">
        <is>
          <t>Done</t>
        </is>
      </c>
      <c r="I23" s="47" t="n">
        <v>1</v>
      </c>
      <c r="J23" s="3">
        <f>IF(H23="Done","Done",
   IF(L23=TODAY(),"Due",
      IF(L23&lt;TODAY(),"Overdue",
         IF(AND(L23&gt;TODAY(),L23&lt;=TODAY()+5),"Upcoming","OnTrack"))))</f>
        <v/>
      </c>
      <c r="K23" s="39" t="inlineStr">
        <is>
          <t>Phanakorn &lt;Champ&gt; R.</t>
        </is>
      </c>
      <c r="L23" s="13" t="n">
        <v>45931</v>
      </c>
      <c r="M23" s="41" t="n">
        <v>46000</v>
      </c>
      <c r="N23" s="41" t="n">
        <v>46000</v>
      </c>
      <c r="O23" s="22" t="inlineStr">
        <is>
          <t>Done</t>
        </is>
      </c>
      <c r="P23" s="48" t="n">
        <v>1</v>
      </c>
      <c r="Q23" s="3">
        <f>IF(O23="Not Start","Not Start",
   IF(AND(O23="Done",U23&gt;T23),"Done with Overdue",
      IF(O23="Done","Done",
         IF(T23=TODAY(),"Due",
            IF(T23&lt;TODAY(),"Overdue",
               IF(AND(T23&gt;TODAY(),T23&lt;=TODAY()+5),"Upcoming","On Track"))))))</f>
        <v/>
      </c>
      <c r="R23" s="3" t="inlineStr">
        <is>
          <t>Suphachai &lt;To&gt; S.</t>
        </is>
      </c>
      <c r="S23" s="13" t="n">
        <v>45931</v>
      </c>
      <c r="T23" s="13" t="n">
        <v>46007</v>
      </c>
      <c r="U23" s="13" t="n">
        <v>46045</v>
      </c>
      <c r="V23" s="13" t="n">
        <v>45915</v>
      </c>
      <c r="W23" s="13" t="n">
        <v>46024</v>
      </c>
      <c r="X23" s="97" t="inlineStr">
        <is>
          <t>23/01/2026 : review detail : approved</t>
        </is>
      </c>
      <c r="Y23" s="35" t="n"/>
    </row>
    <row r="24" ht="15" customHeight="1">
      <c r="A24" s="3" t="n">
        <v>14</v>
      </c>
      <c r="B24" s="86" t="n"/>
      <c r="C24" s="81" t="n"/>
      <c r="D24" s="83" t="inlineStr">
        <is>
          <t>หน้าจอ จัดการรายชื่อ Blacklis</t>
        </is>
      </c>
      <c r="E24" s="27" t="inlineStr">
        <is>
          <t>Link</t>
        </is>
      </c>
      <c r="F24" s="27" t="inlineStr">
        <is>
          <t>Link</t>
        </is>
      </c>
      <c r="G24" s="29" t="inlineStr">
        <is>
          <t>SRM</t>
        </is>
      </c>
      <c r="H24" s="22" t="inlineStr">
        <is>
          <t>Done</t>
        </is>
      </c>
      <c r="I24" s="47" t="n">
        <v>1</v>
      </c>
      <c r="J24" s="3">
        <f>IF(H24="Done","Done",
   IF(L24=TODAY(),"Due",
      IF(L24&lt;TODAY(),"Overdue",
         IF(AND(L24&gt;TODAY(),L24&lt;=TODAY()+5),"Upcoming","OnTrack"))))</f>
        <v/>
      </c>
      <c r="K24" s="39" t="inlineStr">
        <is>
          <t>Phanakorn &lt;Champ&gt; R.</t>
        </is>
      </c>
      <c r="L24" s="13" t="n">
        <v>45936</v>
      </c>
      <c r="M24" s="41" t="n">
        <v>46000</v>
      </c>
      <c r="N24" s="41" t="n">
        <v>46000</v>
      </c>
      <c r="O24" s="22" t="inlineStr">
        <is>
          <t>Done</t>
        </is>
      </c>
      <c r="P24" s="48" t="n">
        <v>1</v>
      </c>
      <c r="Q24" s="3">
        <f>IF(O24="Not Start","Not Start",
   IF(AND(O24="Done",U24&gt;T24),"Done with Overdue",
      IF(O24="Done","Done",
         IF(T24=TODAY(),"Due",
            IF(T24&lt;TODAY(),"Overdue",
               IF(AND(T24&gt;TODAY(),T24&lt;=TODAY()+5),"Upcoming","On Track"))))))</f>
        <v/>
      </c>
      <c r="R24" s="3" t="inlineStr">
        <is>
          <t>Suphachai &lt;To&gt; S.</t>
        </is>
      </c>
      <c r="S24" s="13" t="n">
        <v>45947</v>
      </c>
      <c r="T24" s="13" t="n">
        <v>46007</v>
      </c>
      <c r="U24" s="13" t="n">
        <v>46045</v>
      </c>
      <c r="V24" s="13" t="n">
        <v>45915</v>
      </c>
      <c r="W24" s="13" t="n">
        <v>46024</v>
      </c>
      <c r="X24" s="97" t="inlineStr">
        <is>
          <t>23/01/2026 : review detail : approved</t>
        </is>
      </c>
      <c r="Y24" s="35" t="n"/>
    </row>
    <row r="25" hidden="1" ht="15" customHeight="1">
      <c r="A25" s="3" t="n">
        <v>15</v>
      </c>
      <c r="B25" s="86" t="n"/>
      <c r="C25" s="81" t="n"/>
      <c r="D25" s="83" t="inlineStr">
        <is>
          <t>...</t>
        </is>
      </c>
      <c r="E25" s="62" t="n"/>
      <c r="F25" s="3" t="n"/>
      <c r="G25" s="29" t="inlineStr">
        <is>
          <t>SRM</t>
        </is>
      </c>
      <c r="H25" s="21" t="inlineStr">
        <is>
          <t>Process</t>
        </is>
      </c>
      <c r="I25" s="48" t="n">
        <v>0</v>
      </c>
      <c r="J25" s="3">
        <f>IF(H25="Done","Done",
   IF(L25=TODAY(),"Due",
      IF(L25&lt;TODAY(),"Overdue",
         IF(AND(L25&gt;TODAY(),L25&lt;=TODAY()+5),"Upcoming","OnTrack"))))</f>
        <v/>
      </c>
      <c r="K25" s="40" t="inlineStr">
        <is>
          <t>Sukol &lt;Fei&gt; K.</t>
        </is>
      </c>
      <c r="L25" s="13" t="n">
        <v>45933</v>
      </c>
      <c r="M25" s="41" t="n"/>
      <c r="N25" s="3" t="n"/>
      <c r="O25" s="3" t="inlineStr">
        <is>
          <t>Not Start</t>
        </is>
      </c>
      <c r="P25" s="48" t="n">
        <v>0</v>
      </c>
      <c r="Q25" s="3">
        <f>IF(O25="Not Start","Not Start",
   IF(AND(O25="Done",U25&gt;T25),"Done with Overdue",
      IF(O25="Done","Done",
         IF(T25=TODAY(),"Due",
            IF(T25&lt;TODAY(),"Overdue",
               IF(AND(T25&gt;TODAY(),T25&lt;=TODAY()+5),"Upcoming","On Track"))))))</f>
        <v/>
      </c>
      <c r="R25" s="3" t="inlineStr">
        <is>
          <t>Suphachai &lt;To&gt; S.</t>
        </is>
      </c>
      <c r="S25" s="13" t="n">
        <v>45919</v>
      </c>
      <c r="T25" s="13" t="n"/>
      <c r="U25" s="3" t="n"/>
      <c r="V25" s="13" t="n">
        <v>45915</v>
      </c>
      <c r="W25" s="13" t="n">
        <v>46024</v>
      </c>
      <c r="X25" s="3" t="n"/>
      <c r="Y25" s="35" t="n"/>
    </row>
    <row r="26" hidden="1" ht="15" customHeight="1">
      <c r="A26" s="3" t="n">
        <v>16</v>
      </c>
      <c r="B26" s="86" t="n"/>
      <c r="C26" s="81" t="n"/>
      <c r="D26" s="83" t="inlineStr">
        <is>
          <t>...</t>
        </is>
      </c>
      <c r="E26" s="62" t="n"/>
      <c r="F26" s="3" t="n"/>
      <c r="G26" s="29" t="inlineStr">
        <is>
          <t>SRM</t>
        </is>
      </c>
      <c r="H26" s="21" t="inlineStr">
        <is>
          <t>Process</t>
        </is>
      </c>
      <c r="I26" s="48" t="n">
        <v>0</v>
      </c>
      <c r="J26" s="3">
        <f>IF(H26="Done","Done",
   IF(L26=TODAY(),"Due",
      IF(L26&lt;TODAY(),"Overdue",
         IF(AND(L26&gt;TODAY(),L26&lt;=TODAY()+5),"Upcoming","OnTrack"))))</f>
        <v/>
      </c>
      <c r="K26" s="40" t="inlineStr">
        <is>
          <t>Sukol &lt;Fei&gt; K.</t>
        </is>
      </c>
      <c r="L26" s="13" t="n">
        <v>45936</v>
      </c>
      <c r="M26" s="41" t="n"/>
      <c r="N26" s="3" t="n"/>
      <c r="O26" s="3" t="inlineStr">
        <is>
          <t>Not Start</t>
        </is>
      </c>
      <c r="P26" s="48" t="n">
        <v>0</v>
      </c>
      <c r="Q26" s="3">
        <f>IF(O26="Not Start","Not Start",
   IF(AND(O26="Done",U26&gt;T26),"Done with Overdue",
      IF(O26="Done","Done",
         IF(T26=TODAY(),"Due",
            IF(T26&lt;TODAY(),"Overdue",
               IF(AND(T26&gt;TODAY(),T26&lt;=TODAY()+5),"Upcoming","On Track"))))))</f>
        <v/>
      </c>
      <c r="R26" s="3" t="inlineStr">
        <is>
          <t>Suphachai &lt;To&gt; S.</t>
        </is>
      </c>
      <c r="S26" s="13" t="n">
        <v>45933</v>
      </c>
      <c r="T26" s="13" t="n"/>
      <c r="U26" s="3" t="n"/>
      <c r="V26" s="13" t="n">
        <v>45915</v>
      </c>
      <c r="W26" s="13" t="n">
        <v>46024</v>
      </c>
      <c r="X26" s="3" t="n"/>
      <c r="Y26" s="35" t="n"/>
    </row>
    <row r="27" ht="62.25" customHeight="1">
      <c r="A27" s="3" t="n">
        <v>17</v>
      </c>
      <c r="B27" s="62" t="n"/>
      <c r="C27" s="7" t="n"/>
      <c r="D27" s="82" t="inlineStr">
        <is>
          <t>รายงานความสัมพันธ์</t>
        </is>
      </c>
      <c r="E27" s="27" t="inlineStr">
        <is>
          <t>Link</t>
        </is>
      </c>
      <c r="F27" s="3" t="n"/>
      <c r="G27" s="29" t="inlineStr">
        <is>
          <t>SRM</t>
        </is>
      </c>
      <c r="H27" s="22" t="inlineStr">
        <is>
          <t>Done</t>
        </is>
      </c>
      <c r="I27" s="47" t="n">
        <v>1</v>
      </c>
      <c r="J27" s="3">
        <f>IF(H27="Done","Done",
   IF(L27=TODAY(),"Due",
      IF(L27&lt;TODAY(),"Overdue",
         IF(AND(L27&gt;TODAY(),L27&lt;=TODAY()+5),"Upcoming","OnTrack"))))</f>
        <v/>
      </c>
      <c r="K27" s="52" t="inlineStr">
        <is>
          <t>Sukol &lt;Fei&gt; K.</t>
        </is>
      </c>
      <c r="L27" s="13" t="n">
        <v>45919</v>
      </c>
      <c r="M27" s="41" t="n">
        <v>45922</v>
      </c>
      <c r="N27" s="41" t="n">
        <v>45922</v>
      </c>
      <c r="O27" s="22" t="inlineStr">
        <is>
          <t>Done</t>
        </is>
      </c>
      <c r="P27" s="48" t="n">
        <v>1</v>
      </c>
      <c r="Q27" s="3">
        <f>IF(O27="Not Start","Not Start",
   IF(AND(O27="Done",U27&gt;T27),"Done with Overdue",
      IF(O27="Done","Done",
         IF(T27=TODAY(),"Due",
            IF(T27&lt;TODAY(),"Overdue",
               IF(AND(T27&gt;TODAY(),T27&lt;=TODAY()+5),"Upcoming","On Track"))))))</f>
        <v/>
      </c>
      <c r="R27" s="3" t="inlineStr">
        <is>
          <t>Suphachai &lt;To&gt; S.</t>
        </is>
      </c>
      <c r="S27" s="13" t="n">
        <v>45926</v>
      </c>
      <c r="T27" s="13" t="n">
        <v>45945</v>
      </c>
      <c r="U27" s="13" t="n">
        <v>45952</v>
      </c>
      <c r="V27" s="13" t="n">
        <v>45915</v>
      </c>
      <c r="W27" s="13" t="n">
        <v>46024</v>
      </c>
      <c r="X27" s="100" t="inlineStr">
        <is>
          <t>30/09/2025 : Review detail design : ขอข้อมูลเพิ่ม
ขอข้อมูล Use Case การทำงานของ function นี้ และมี Data input จากอะไรครับ
ขอข้อมูลเรื่อง Data Design , Index เพิ่มด้วยครับ
07/10/2025 : ส่ง 07/10/2025
22/10/2025 : มีส่วนที่แก้ไขเพิ่มเติม</t>
        </is>
      </c>
      <c r="Y27" s="35" t="n"/>
    </row>
    <row r="28" ht="15" customHeight="1">
      <c r="A28" s="3" t="n"/>
      <c r="B28" s="93" t="inlineStr">
        <is>
          <t>Phase #3</t>
        </is>
      </c>
      <c r="C28" s="133" t="inlineStr">
        <is>
          <t>2. Contract Management</t>
        </is>
      </c>
      <c r="D28" s="152" t="n"/>
      <c r="E28" s="3" t="n"/>
      <c r="F28" s="3" t="n"/>
      <c r="G28" s="3" t="n"/>
      <c r="H28" s="3" t="n"/>
      <c r="I28" s="45">
        <f>(SUM(I29:I40)/6)</f>
        <v/>
      </c>
      <c r="J28" s="3" t="n"/>
      <c r="K28" s="10" t="n"/>
      <c r="L28" s="13" t="n"/>
      <c r="M28" s="41" t="n"/>
      <c r="N28" s="3" t="n"/>
      <c r="O28" s="3" t="n"/>
      <c r="P28" s="45">
        <f>(SUM(P29:P31)/3)</f>
        <v/>
      </c>
      <c r="Q28" s="3" t="n"/>
      <c r="R28" s="3" t="n"/>
      <c r="S28" s="13" t="n"/>
      <c r="T28" s="13" t="n"/>
      <c r="U28" s="3" t="n"/>
      <c r="V28" s="3" t="n"/>
      <c r="W28" s="3" t="n"/>
      <c r="X28" s="3" t="n"/>
      <c r="Y28" s="35" t="n"/>
    </row>
    <row r="29" ht="15" customHeight="1">
      <c r="A29" s="3" t="n">
        <v>18</v>
      </c>
      <c r="B29" s="62" t="n"/>
      <c r="C29" s="81" t="inlineStr">
        <is>
          <t>ต่อสัญญา</t>
        </is>
      </c>
      <c r="D29" s="113" t="inlineStr">
        <is>
          <t>การพิจารณาให้บริหารร้าน 7-Eleven</t>
        </is>
      </c>
      <c r="E29" s="114" t="inlineStr">
        <is>
          <t>Link</t>
        </is>
      </c>
      <c r="F29" s="3" t="n"/>
      <c r="G29" s="14" t="inlineStr">
        <is>
          <t>WHP</t>
        </is>
      </c>
      <c r="H29" s="22" t="inlineStr">
        <is>
          <t>Done</t>
        </is>
      </c>
      <c r="I29" s="48" t="n">
        <v>1</v>
      </c>
      <c r="J29" s="3">
        <f>IF(H29="Done","Done",
   IF(L29=TODAY(),"Due",
      IF(L29&lt;TODAY(),"Overdue",
         IF(AND(L29&gt;TODAY(),L29&lt;=TODAY()+5),"Upcoming","OnTrack"))))</f>
        <v/>
      </c>
      <c r="K29" s="39" t="inlineStr">
        <is>
          <t>Wichai</t>
        </is>
      </c>
      <c r="L29" s="13" t="n">
        <v>46141</v>
      </c>
      <c r="M29" s="13" t="n">
        <v>46141</v>
      </c>
      <c r="N29" s="13" t="n">
        <v>46153</v>
      </c>
      <c r="O29" s="122" t="inlineStr">
        <is>
          <t>Process</t>
        </is>
      </c>
      <c r="P29" s="48" t="n">
        <v>0</v>
      </c>
      <c r="Q29" s="3">
        <f>IF(O29="Not Start","Not Start",
   IF(AND(O29="Done",U29&gt;T29),"Done with Overdue",
      IF(O29="Done","Done",
         IF(T29=TODAY(),"Due",
            IF(T29&lt;TODAY(),"Overdue",
               IF(AND(T29&gt;TODAY(),T29&lt;=TODAY()+5),"Upcoming","On Track"))))))</f>
        <v/>
      </c>
      <c r="R29" s="3" t="inlineStr">
        <is>
          <t>Suphachai &lt;To&gt; S.</t>
        </is>
      </c>
      <c r="S29" s="13" t="n">
        <v>46157</v>
      </c>
      <c r="T29" s="13" t="n">
        <v>46157</v>
      </c>
      <c r="U29" s="3" t="n"/>
      <c r="V29" s="13" t="n"/>
      <c r="W29" s="13" t="n"/>
      <c r="X29" s="3" t="n"/>
      <c r="Y29" s="35" t="n"/>
    </row>
    <row r="30" ht="15" customHeight="1">
      <c r="A30" s="3" t="n">
        <v>19</v>
      </c>
      <c r="B30" s="62" t="n"/>
      <c r="C30" s="7" t="n"/>
      <c r="D30" s="115" t="inlineStr">
        <is>
          <t>การยืนยันความประสงค์บริหารร้าน SBP</t>
        </is>
      </c>
      <c r="E30" s="114" t="inlineStr">
        <is>
          <t>Link</t>
        </is>
      </c>
      <c r="F30" s="3" t="n"/>
      <c r="G30" s="14" t="inlineStr">
        <is>
          <t>WHP</t>
        </is>
      </c>
      <c r="H30" s="22" t="inlineStr">
        <is>
          <t>Done</t>
        </is>
      </c>
      <c r="I30" s="48" t="n">
        <v>1</v>
      </c>
      <c r="J30" s="3">
        <f>IF(H30="Done","Done",
   IF(L30=TODAY(),"Due",
      IF(L30&lt;TODAY(),"Overdue",
         IF(AND(L30&gt;TODAY(),L30&lt;=TODAY()+5),"Upcoming","OnTrack"))))</f>
        <v/>
      </c>
      <c r="K30" s="39" t="inlineStr">
        <is>
          <t>Wichai</t>
        </is>
      </c>
      <c r="L30" s="13" t="n">
        <v>46147</v>
      </c>
      <c r="M30" s="13" t="n">
        <v>46147</v>
      </c>
      <c r="N30" s="13" t="n">
        <v>46153</v>
      </c>
      <c r="O30" s="122" t="inlineStr">
        <is>
          <t>Process</t>
        </is>
      </c>
      <c r="P30" s="48" t="n">
        <v>0</v>
      </c>
      <c r="Q30" s="3">
        <f>IF(O30="Not Start","Not Start",
   IF(AND(O30="Done",U30&gt;T30),"Done with Overdue",
      IF(O30="Done","Done",
         IF(T30=TODAY(),"Due",
            IF(T30&lt;TODAY(),"Overdue",
               IF(AND(T30&gt;TODAY(),T30&lt;=TODAY()+5),"Upcoming","On Track"))))))</f>
        <v/>
      </c>
      <c r="R30" s="3" t="inlineStr">
        <is>
          <t>Suphachai &lt;To&gt; S.</t>
        </is>
      </c>
      <c r="S30" s="13" t="n">
        <v>46157</v>
      </c>
      <c r="T30" s="13" t="n">
        <v>46157</v>
      </c>
      <c r="U30" s="3" t="n"/>
      <c r="V30" s="13" t="n"/>
      <c r="W30" s="13" t="n"/>
      <c r="X30" s="3" t="n"/>
      <c r="Y30" s="35" t="n"/>
    </row>
    <row r="31" ht="15" customHeight="1">
      <c r="A31" s="3" t="n">
        <v>20</v>
      </c>
      <c r="B31" s="62" t="n"/>
      <c r="C31" s="7" t="n"/>
      <c r="D31" s="111" t="inlineStr">
        <is>
          <t>ปลดบล็อกต่อสัญญาร้าน SBP</t>
        </is>
      </c>
      <c r="E31" s="114" t="inlineStr">
        <is>
          <t>Link</t>
        </is>
      </c>
      <c r="F31" s="3" t="n"/>
      <c r="G31" s="14" t="inlineStr">
        <is>
          <t>WHP</t>
        </is>
      </c>
      <c r="H31" s="22" t="inlineStr">
        <is>
          <t>Done</t>
        </is>
      </c>
      <c r="I31" s="48" t="n">
        <v>1</v>
      </c>
      <c r="J31" s="3">
        <f>IF(H31="Done","Done",
   IF(L31=TODAY(),"Due",
      IF(L31&lt;TODAY(),"Overdue",
         IF(AND(L31&gt;TODAY(),L31&lt;=TODAY()+5),"Upcoming","OnTrack"))))</f>
        <v/>
      </c>
      <c r="K31" s="39" t="inlineStr">
        <is>
          <t>Phumiphat</t>
        </is>
      </c>
      <c r="L31" s="13" t="n">
        <v>46149</v>
      </c>
      <c r="M31" s="13" t="n">
        <v>46149</v>
      </c>
      <c r="N31" s="13" t="n">
        <v>46153</v>
      </c>
      <c r="O31" s="122" t="inlineStr">
        <is>
          <t>Process</t>
        </is>
      </c>
      <c r="P31" s="48" t="n">
        <v>0</v>
      </c>
      <c r="Q31" s="3">
        <f>IF(O31="Not Start","Not Start",
   IF(AND(O31="Done",U31&gt;T31),"Done with Overdue",
      IF(O31="Done","Done",
         IF(T31=TODAY(),"Due",
            IF(T31&lt;TODAY(),"Overdue",
               IF(AND(T31&gt;TODAY(),T31&lt;=TODAY()+5),"Upcoming","On Track"))))))</f>
        <v/>
      </c>
      <c r="R31" s="3" t="inlineStr">
        <is>
          <t>Suphachai &lt;To&gt; S.</t>
        </is>
      </c>
      <c r="S31" s="13" t="n">
        <v>46157</v>
      </c>
      <c r="T31" s="13" t="n">
        <v>46157</v>
      </c>
      <c r="U31" s="3" t="n"/>
      <c r="V31" s="13" t="n"/>
      <c r="W31" s="13" t="n"/>
      <c r="X31" s="3" t="n"/>
      <c r="Y31" s="35" t="n"/>
    </row>
    <row r="32" ht="15" customHeight="1">
      <c r="A32" s="3" t="n">
        <v>18</v>
      </c>
      <c r="B32" s="62" t="n"/>
      <c r="C32" s="7" t="n"/>
      <c r="D32" s="111" t="inlineStr">
        <is>
          <t>ตรวจสอบข้อมูลการยืนยันความประสงค์บริหารงานร้าน SBP</t>
        </is>
      </c>
      <c r="E32" s="114" t="inlineStr">
        <is>
          <t>Link</t>
        </is>
      </c>
      <c r="F32" s="3" t="n"/>
      <c r="G32" s="14" t="inlineStr">
        <is>
          <t>WHP</t>
        </is>
      </c>
      <c r="H32" s="22" t="inlineStr">
        <is>
          <t>Done</t>
        </is>
      </c>
      <c r="I32" s="48" t="n">
        <v>1</v>
      </c>
      <c r="J32" s="3">
        <f>IF(H32="Done","Done",
   IF(L32=TODAY(),"Due",
      IF(L32&lt;TODAY(),"Overdue",
         IF(AND(L32&gt;TODAY(),L32&lt;=TODAY()+5),"Upcoming","OnTrack"))))</f>
        <v/>
      </c>
      <c r="K32" s="39" t="inlineStr">
        <is>
          <t>Wichai</t>
        </is>
      </c>
      <c r="L32" s="13" t="n">
        <v>46149</v>
      </c>
      <c r="M32" s="13" t="n">
        <v>46149</v>
      </c>
      <c r="N32" s="13" t="n">
        <v>46153</v>
      </c>
      <c r="O32" s="122" t="inlineStr">
        <is>
          <t>Process</t>
        </is>
      </c>
      <c r="P32" s="48" t="n">
        <v>0</v>
      </c>
      <c r="Q32" s="3">
        <f>IF(O32="Not Start","Not Start",
   IF(AND(O32="Done",U32&gt;T32),"Done with Overdue",
      IF(O32="Done","Done",
         IF(T32=TODAY(),"Due",
            IF(T32&lt;TODAY(),"Overdue",
               IF(AND(T32&gt;TODAY(),T32&lt;=TODAY()+5),"Upcoming","On Track"))))))</f>
        <v/>
      </c>
      <c r="R32" s="3" t="inlineStr">
        <is>
          <t>Suphachai &lt;To&gt; S.</t>
        </is>
      </c>
      <c r="S32" s="13" t="n">
        <v>46157</v>
      </c>
      <c r="T32" s="13" t="n">
        <v>46157</v>
      </c>
      <c r="U32" s="3" t="n"/>
      <c r="V32" s="13" t="n"/>
      <c r="W32" s="13" t="n"/>
      <c r="X32" s="3" t="n"/>
      <c r="Y32" s="35" t="n"/>
    </row>
    <row r="33" ht="15" customHeight="1">
      <c r="A33" s="3" t="n">
        <v>19</v>
      </c>
      <c r="B33" s="62" t="n"/>
      <c r="C33" s="7" t="n"/>
      <c r="D33" s="111" t="inlineStr">
        <is>
          <t>นำเข้าข้อมูลกระบวนการต่อสัญญา</t>
        </is>
      </c>
      <c r="E33" s="114" t="inlineStr">
        <is>
          <t>Link</t>
        </is>
      </c>
      <c r="F33" s="3" t="n"/>
      <c r="G33" s="14" t="inlineStr">
        <is>
          <t>WHP</t>
        </is>
      </c>
      <c r="H33" s="22" t="inlineStr">
        <is>
          <t>Done</t>
        </is>
      </c>
      <c r="I33" s="48" t="n">
        <v>1</v>
      </c>
      <c r="J33" s="3">
        <f>IF(H33="Done","Done",
   IF(L33=TODAY(),"Due",
      IF(L33&lt;TODAY(),"Overdue",
         IF(AND(L33&gt;TODAY(),L33&lt;=TODAY()+5),"Upcoming","OnTrack"))))</f>
        <v/>
      </c>
      <c r="K33" s="39" t="inlineStr">
        <is>
          <t>Phumiphat</t>
        </is>
      </c>
      <c r="L33" s="13" t="n">
        <v>46141</v>
      </c>
      <c r="M33" s="13" t="n">
        <v>46141</v>
      </c>
      <c r="N33" s="13" t="n">
        <v>46153</v>
      </c>
      <c r="O33" s="122" t="inlineStr">
        <is>
          <t>Process</t>
        </is>
      </c>
      <c r="P33" s="48" t="n">
        <v>0</v>
      </c>
      <c r="Q33" s="3">
        <f>IF(O33="Not Start","Not Start",
   IF(AND(O33="Done",U33&gt;T33),"Done with Overdue",
      IF(O33="Done","Done",
         IF(T33=TODAY(),"Due",
            IF(T33&lt;TODAY(),"Overdue",
               IF(AND(T33&gt;TODAY(),T33&lt;=TODAY()+5),"Upcoming","On Track"))))))</f>
        <v/>
      </c>
      <c r="R33" s="3" t="inlineStr">
        <is>
          <t>Suphachai &lt;To&gt; S.</t>
        </is>
      </c>
      <c r="S33" s="13" t="n">
        <v>46157</v>
      </c>
      <c r="T33" s="13" t="n">
        <v>46157</v>
      </c>
      <c r="U33" s="3" t="n"/>
      <c r="V33" s="13" t="n"/>
      <c r="W33" s="13" t="n"/>
      <c r="X33" s="3" t="n"/>
      <c r="Y33" s="35" t="n"/>
    </row>
    <row r="34" ht="15" customHeight="1">
      <c r="A34" s="3" t="n"/>
      <c r="B34" s="62" t="n"/>
      <c r="C34" s="7" t="n"/>
      <c r="D34" s="112" t="inlineStr">
        <is>
          <t>Batch Job - ประมวลผลร้านต่อสัญญา SBP</t>
        </is>
      </c>
      <c r="E34" s="114" t="inlineStr">
        <is>
          <t>Link</t>
        </is>
      </c>
      <c r="F34" s="3" t="n"/>
      <c r="G34" s="14" t="inlineStr">
        <is>
          <t>WHP</t>
        </is>
      </c>
      <c r="H34" s="22" t="inlineStr">
        <is>
          <t>Done</t>
        </is>
      </c>
      <c r="I34" s="48" t="n">
        <v>1</v>
      </c>
      <c r="J34" s="3">
        <f>IF(H34="Done","Done",
   IF(L34=TODAY(),"Due",
      IF(L34&lt;TODAY(),"Overdue",
         IF(AND(L34&gt;TODAY(),L34&lt;=TODAY()+5),"Upcoming","OnTrack"))))</f>
        <v/>
      </c>
      <c r="K34" s="39" t="inlineStr">
        <is>
          <t>Phumiphat</t>
        </is>
      </c>
      <c r="L34" s="13" t="n">
        <v>46148</v>
      </c>
      <c r="M34" s="13" t="n">
        <v>46148</v>
      </c>
      <c r="N34" s="13" t="n">
        <v>46153</v>
      </c>
      <c r="O34" s="122" t="inlineStr">
        <is>
          <t>Process</t>
        </is>
      </c>
      <c r="P34" s="48" t="n">
        <v>0</v>
      </c>
      <c r="Q34" s="3">
        <f>IF(O34="Not Start","Not Start",
   IF(AND(O34="Done",U34&gt;T34),"Done with Overdue",
      IF(O34="Done","Done",
         IF(T34=TODAY(),"Due",
            IF(T34&lt;TODAY(),"Overdue",
               IF(AND(T34&gt;TODAY(),T34&lt;=TODAY()+5),"Upcoming","On Track"))))))</f>
        <v/>
      </c>
      <c r="R34" s="3" t="inlineStr">
        <is>
          <t>Suphachai &lt;To&gt; S.</t>
        </is>
      </c>
      <c r="S34" s="13" t="n">
        <v>46157</v>
      </c>
      <c r="T34" s="13" t="n">
        <v>46157</v>
      </c>
      <c r="U34" s="3" t="n"/>
      <c r="V34" s="13" t="n"/>
      <c r="W34" s="13" t="n"/>
      <c r="X34" s="3" t="n"/>
      <c r="Y34" s="35" t="n"/>
    </row>
    <row r="35" ht="15" customHeight="1">
      <c r="A35" s="3" t="n"/>
      <c r="B35" s="62" t="n"/>
      <c r="C35" s="7" t="n"/>
      <c r="D35" s="112" t="inlineStr">
        <is>
          <t>Batch Job - การบล็อก/ปลดบล็อก</t>
        </is>
      </c>
      <c r="E35" s="114" t="inlineStr">
        <is>
          <t>Link</t>
        </is>
      </c>
      <c r="F35" s="3" t="n"/>
      <c r="G35" s="14" t="inlineStr">
        <is>
          <t>WHP</t>
        </is>
      </c>
      <c r="H35" s="22" t="inlineStr">
        <is>
          <t>Done</t>
        </is>
      </c>
      <c r="I35" s="48" t="n">
        <v>1</v>
      </c>
      <c r="J35" s="3">
        <f>IF(H35="Done","Done",
   IF(L35=TODAY(),"Due",
      IF(L35&lt;TODAY(),"Overdue",
         IF(AND(L35&gt;TODAY(),L35&lt;=TODAY()+5),"Upcoming","OnTrack"))))</f>
        <v/>
      </c>
      <c r="K35" s="39" t="inlineStr">
        <is>
          <t>Phumiphat</t>
        </is>
      </c>
      <c r="L35" s="13" t="n">
        <v>46148</v>
      </c>
      <c r="M35" s="13" t="n">
        <v>46148</v>
      </c>
      <c r="N35" s="13" t="n">
        <v>46153</v>
      </c>
      <c r="O35" s="122" t="inlineStr">
        <is>
          <t>Process</t>
        </is>
      </c>
      <c r="P35" s="48" t="n">
        <v>0</v>
      </c>
      <c r="Q35" s="3">
        <f>IF(O35="Not Start","Not Start",
   IF(AND(O35="Done",U35&gt;T35),"Done with Overdue",
      IF(O35="Done","Done",
         IF(T35=TODAY(),"Due",
            IF(T35&lt;TODAY(),"Overdue",
               IF(AND(T35&gt;TODAY(),T35&lt;=TODAY()+5),"Upcoming","On Track"))))))</f>
        <v/>
      </c>
      <c r="R35" s="3" t="inlineStr">
        <is>
          <t>Suphachai &lt;To&gt; S.</t>
        </is>
      </c>
      <c r="S35" s="13" t="n">
        <v>46157</v>
      </c>
      <c r="T35" s="13" t="n">
        <v>46157</v>
      </c>
      <c r="U35" s="3" t="n"/>
      <c r="V35" s="13" t="n"/>
      <c r="W35" s="13" t="n"/>
      <c r="X35" s="3" t="n"/>
      <c r="Y35" s="35" t="n"/>
    </row>
    <row r="36" ht="15" customHeight="1">
      <c r="A36" s="3" t="n"/>
      <c r="B36" s="62" t="n"/>
      <c r="C36" s="7" t="n"/>
      <c r="D36" s="112" t="inlineStr">
        <is>
          <t>Batch Job - Auto next step work flow</t>
        </is>
      </c>
      <c r="E36" s="114" t="inlineStr">
        <is>
          <t>Link</t>
        </is>
      </c>
      <c r="F36" s="3" t="n"/>
      <c r="G36" s="14" t="inlineStr">
        <is>
          <t>WHP</t>
        </is>
      </c>
      <c r="H36" s="22" t="inlineStr">
        <is>
          <t>Done</t>
        </is>
      </c>
      <c r="I36" s="48" t="n">
        <v>1</v>
      </c>
      <c r="J36" s="3">
        <f>IF(H36="Done","Done",
   IF(L36=TODAY(),"Due",
      IF(L36&lt;TODAY(),"Overdue",
         IF(AND(L36&gt;TODAY(),L36&lt;=TODAY()+5),"Upcoming","OnTrack"))))</f>
        <v/>
      </c>
      <c r="K36" s="39" t="inlineStr">
        <is>
          <t>Phumiphat</t>
        </is>
      </c>
      <c r="L36" s="13" t="n">
        <v>46148</v>
      </c>
      <c r="M36" s="13" t="n">
        <v>46148</v>
      </c>
      <c r="N36" s="13" t="n">
        <v>46153</v>
      </c>
      <c r="O36" s="122" t="inlineStr">
        <is>
          <t>Process</t>
        </is>
      </c>
      <c r="P36" s="48" t="n">
        <v>0</v>
      </c>
      <c r="Q36" s="3">
        <f>IF(O36="Not Start","Not Start",
   IF(AND(O36="Done",U36&gt;T36),"Done with Overdue",
      IF(O36="Done","Done",
         IF(T36=TODAY(),"Due",
            IF(T36&lt;TODAY(),"Overdue",
               IF(AND(T36&gt;TODAY(),T36&lt;=TODAY()+5),"Upcoming","On Track"))))))</f>
        <v/>
      </c>
      <c r="R36" s="3" t="inlineStr">
        <is>
          <t>Suphachai &lt;To&gt; S.</t>
        </is>
      </c>
      <c r="S36" s="13" t="n">
        <v>46157</v>
      </c>
      <c r="T36" s="13" t="n">
        <v>46157</v>
      </c>
      <c r="U36" s="3" t="n"/>
      <c r="V36" s="13" t="n"/>
      <c r="W36" s="13" t="n"/>
      <c r="X36" s="3" t="n"/>
      <c r="Y36" s="35" t="n"/>
    </row>
    <row r="37" ht="15" customHeight="1">
      <c r="A37" s="3" t="n"/>
      <c r="B37" s="62" t="n"/>
      <c r="C37" s="7" t="n"/>
      <c r="D37" s="112" t="inlineStr">
        <is>
          <t>Batch Job - Update ผู้อนุมัติตามโครงสร้าง OPT/ส่งเสริม</t>
        </is>
      </c>
      <c r="E37" s="114" t="inlineStr">
        <is>
          <t>Link</t>
        </is>
      </c>
      <c r="F37" s="3" t="n"/>
      <c r="G37" s="14" t="inlineStr">
        <is>
          <t>WHP</t>
        </is>
      </c>
      <c r="H37" s="22" t="inlineStr">
        <is>
          <t>Done</t>
        </is>
      </c>
      <c r="I37" s="48" t="n">
        <v>1</v>
      </c>
      <c r="J37" s="3">
        <f>IF(H37="Done","Done",
   IF(L37=TODAY(),"Due",
      IF(L37&lt;TODAY(),"Overdue",
         IF(AND(L37&gt;TODAY(),L37&lt;=TODAY()+5),"Upcoming","OnTrack"))))</f>
        <v/>
      </c>
      <c r="K37" s="39" t="inlineStr">
        <is>
          <t>Wichai</t>
        </is>
      </c>
      <c r="L37" s="13" t="n">
        <v>46148</v>
      </c>
      <c r="M37" s="13" t="n">
        <v>46148</v>
      </c>
      <c r="N37" s="13" t="n">
        <v>46153</v>
      </c>
      <c r="O37" s="122" t="inlineStr">
        <is>
          <t>Process</t>
        </is>
      </c>
      <c r="P37" s="48" t="n">
        <v>0</v>
      </c>
      <c r="Q37" s="3">
        <f>IF(O37="Not Start","Not Start",
   IF(AND(O37="Done",U37&gt;T37),"Done with Overdue",
      IF(O37="Done","Done",
         IF(T37=TODAY(),"Due",
            IF(T37&lt;TODAY(),"Overdue",
               IF(AND(T37&gt;TODAY(),T37&lt;=TODAY()+5),"Upcoming","On Track"))))))</f>
        <v/>
      </c>
      <c r="R37" s="3" t="inlineStr">
        <is>
          <t>Suphachai &lt;To&gt; S.</t>
        </is>
      </c>
      <c r="S37" s="13" t="n">
        <v>46157</v>
      </c>
      <c r="T37" s="13" t="n">
        <v>46157</v>
      </c>
      <c r="U37" s="3" t="n"/>
      <c r="V37" s="13" t="n"/>
      <c r="W37" s="13" t="n"/>
      <c r="X37" s="3" t="n"/>
      <c r="Y37" s="35" t="n"/>
    </row>
    <row r="38" ht="15" customHeight="1">
      <c r="A38" s="3" t="n"/>
      <c r="B38" s="62" t="n"/>
      <c r="C38" s="7" t="n"/>
      <c r="D38" s="112" t="inlineStr">
        <is>
          <t xml:space="preserve">Batch Job - ส่ง Email งานค้าง </t>
        </is>
      </c>
      <c r="E38" s="114" t="inlineStr">
        <is>
          <t>Link</t>
        </is>
      </c>
      <c r="F38" s="3" t="n"/>
      <c r="G38" s="14" t="inlineStr">
        <is>
          <t>WHP</t>
        </is>
      </c>
      <c r="H38" s="22" t="inlineStr">
        <is>
          <t>Done</t>
        </is>
      </c>
      <c r="I38" s="48" t="n">
        <v>1</v>
      </c>
      <c r="J38" s="3">
        <f>IF(H38="Done","Done",
   IF(L38=TODAY(),"Due",
      IF(L38&lt;TODAY(),"Overdue",
         IF(AND(L38&gt;TODAY(),L38&lt;=TODAY()+5),"Upcoming","OnTrack"))))</f>
        <v/>
      </c>
      <c r="K38" s="39" t="inlineStr">
        <is>
          <t>Wichai</t>
        </is>
      </c>
      <c r="L38" s="13" t="n">
        <v>46148</v>
      </c>
      <c r="M38" s="13" t="n">
        <v>46148</v>
      </c>
      <c r="N38" s="13" t="n">
        <v>46153</v>
      </c>
      <c r="O38" s="122" t="inlineStr">
        <is>
          <t>Process</t>
        </is>
      </c>
      <c r="P38" s="48" t="n">
        <v>0</v>
      </c>
      <c r="Q38" s="3">
        <f>IF(O38="Not Start","Not Start",
   IF(AND(O38="Done",U38&gt;T38),"Done with Overdue",
      IF(O38="Done","Done",
         IF(T38=TODAY(),"Due",
            IF(T38&lt;TODAY(),"Overdue",
               IF(AND(T38&gt;TODAY(),T38&lt;=TODAY()+5),"Upcoming","On Track"))))))</f>
        <v/>
      </c>
      <c r="R38" s="3" t="inlineStr">
        <is>
          <t>Suphachai &lt;To&gt; S.</t>
        </is>
      </c>
      <c r="S38" s="13" t="n">
        <v>46157</v>
      </c>
      <c r="T38" s="13" t="n">
        <v>46157</v>
      </c>
      <c r="U38" s="3" t="n"/>
      <c r="V38" s="13" t="n"/>
      <c r="W38" s="13" t="n"/>
      <c r="X38" s="3" t="n"/>
      <c r="Y38" s="35" t="n"/>
    </row>
    <row r="39" ht="15" customHeight="1">
      <c r="A39" s="3" t="n"/>
      <c r="B39" s="62" t="n"/>
      <c r="C39" s="7" t="n"/>
      <c r="D39" s="112" t="inlineStr">
        <is>
          <t>Batch Job - AutoUpdateContractJob</t>
        </is>
      </c>
      <c r="E39" s="114" t="inlineStr">
        <is>
          <t>Link</t>
        </is>
      </c>
      <c r="F39" s="3" t="n"/>
      <c r="G39" s="14" t="inlineStr">
        <is>
          <t>WHP</t>
        </is>
      </c>
      <c r="H39" s="22" t="inlineStr">
        <is>
          <t>Done</t>
        </is>
      </c>
      <c r="I39" s="48" t="n">
        <v>1</v>
      </c>
      <c r="J39" s="3">
        <f>IF(H39="Done","Done",
   IF(L39=TODAY(),"Due",
      IF(L39&lt;TODAY(),"Overdue",
         IF(AND(L39&gt;TODAY(),L39&lt;=TODAY()+5),"Upcoming","OnTrack"))))</f>
        <v/>
      </c>
      <c r="K39" s="39" t="inlineStr">
        <is>
          <t>Wichai</t>
        </is>
      </c>
      <c r="L39" s="13" t="n">
        <v>46148</v>
      </c>
      <c r="M39" s="13" t="n">
        <v>46148</v>
      </c>
      <c r="N39" s="13" t="n">
        <v>46153</v>
      </c>
      <c r="O39" s="122" t="inlineStr">
        <is>
          <t>Process</t>
        </is>
      </c>
      <c r="P39" s="48" t="n">
        <v>0</v>
      </c>
      <c r="Q39" s="3">
        <f>IF(O39="Not Start","Not Start",
   IF(AND(O39="Done",U39&gt;T39),"Done with Overdue",
      IF(O39="Done","Done",
         IF(T39=TODAY(),"Due",
            IF(T39&lt;TODAY(),"Overdue",
               IF(AND(T39&gt;TODAY(),T39&lt;=TODAY()+5),"Upcoming","On Track"))))))</f>
        <v/>
      </c>
      <c r="R39" s="3" t="inlineStr">
        <is>
          <t>Suphachai &lt;To&gt; S.</t>
        </is>
      </c>
      <c r="S39" s="13" t="n">
        <v>46157</v>
      </c>
      <c r="T39" s="13" t="n">
        <v>46157</v>
      </c>
      <c r="U39" s="3" t="n"/>
      <c r="V39" s="13" t="n"/>
      <c r="W39" s="13" t="n"/>
      <c r="X39" s="3" t="n"/>
      <c r="Y39" s="35" t="n"/>
    </row>
    <row r="40" ht="15" customHeight="1">
      <c r="A40" s="3" t="n"/>
      <c r="B40" s="62" t="n"/>
      <c r="C40" s="7" t="n"/>
      <c r="D40" s="112" t="inlineStr">
        <is>
          <t>Batch Job - คัดกรองร้านต่อสัญญา</t>
        </is>
      </c>
      <c r="E40" s="121" t="inlineStr">
        <is>
          <t>Link</t>
        </is>
      </c>
      <c r="F40" s="3" t="n"/>
      <c r="G40" s="14" t="inlineStr">
        <is>
          <t>WHP</t>
        </is>
      </c>
      <c r="H40" s="22" t="inlineStr">
        <is>
          <t>Done</t>
        </is>
      </c>
      <c r="I40" s="48" t="n">
        <v>1</v>
      </c>
      <c r="J40" s="3">
        <f>IF(H40="Done","Done",
   IF(L40=TODAY(),"Due",
      IF(L40&lt;TODAY(),"Overdue",
         IF(AND(L40&gt;TODAY(),L40&lt;=TODAY()+5),"Upcoming","OnTrack"))))</f>
        <v/>
      </c>
      <c r="K40" s="39" t="inlineStr">
        <is>
          <t>Phumiphat</t>
        </is>
      </c>
      <c r="L40" s="13" t="n">
        <v>46149</v>
      </c>
      <c r="M40" s="13" t="n">
        <v>46149</v>
      </c>
      <c r="N40" s="13" t="n">
        <v>46153</v>
      </c>
      <c r="O40" s="122" t="inlineStr">
        <is>
          <t>Process</t>
        </is>
      </c>
      <c r="P40" s="48" t="n">
        <v>0</v>
      </c>
      <c r="Q40" s="3">
        <f>IF(O40="Not Start","Not Start",
   IF(AND(O40="Done",U40&gt;T40),"Done with Overdue",
      IF(O40="Done","Done",
         IF(T40=TODAY(),"Due",
            IF(T40&lt;TODAY(),"Overdue",
               IF(AND(T40&gt;TODAY(),T40&lt;=TODAY()+5),"Upcoming","On Track"))))))</f>
        <v/>
      </c>
      <c r="R40" s="3" t="inlineStr">
        <is>
          <t>Suphachai &lt;To&gt; S.</t>
        </is>
      </c>
      <c r="S40" s="13" t="n">
        <v>46157</v>
      </c>
      <c r="T40" s="13" t="n">
        <v>46157</v>
      </c>
      <c r="U40" s="3" t="n"/>
      <c r="V40" s="13" t="n"/>
      <c r="W40" s="13" t="n"/>
      <c r="X40" s="3" t="n"/>
      <c r="Y40" s="35" t="n"/>
    </row>
    <row r="41" ht="15" customHeight="1">
      <c r="A41" s="3" t="n"/>
      <c r="B41" s="80" t="n"/>
      <c r="C41" s="116" t="inlineStr">
        <is>
          <t>สัญญา</t>
        </is>
      </c>
      <c r="D41" s="119" t="inlineStr">
        <is>
          <t>รายงานกระบวนการต่อสัญญาร้าน SBP</t>
        </is>
      </c>
      <c r="E41" s="27" t="n"/>
      <c r="F41" s="62" t="n"/>
      <c r="G41" s="14" t="inlineStr">
        <is>
          <t>WHP</t>
        </is>
      </c>
      <c r="H41" s="22" t="inlineStr">
        <is>
          <t>Done</t>
        </is>
      </c>
      <c r="I41" s="48" t="n">
        <v>1</v>
      </c>
      <c r="J41" s="3">
        <f>IF(H41="Done","Done",
   IF(L41=TODAY(),"Due",
      IF(L41&lt;TODAY(),"Overdue",
         IF(AND(L41&gt;TODAY(),L41&lt;=TODAY()+5),"Upcoming","OnTrack"))))</f>
        <v/>
      </c>
      <c r="K41" s="39" t="inlineStr">
        <is>
          <t>Phumiphat</t>
        </is>
      </c>
      <c r="L41" s="13" t="n">
        <v>46141</v>
      </c>
      <c r="M41" s="13" t="n">
        <v>46141</v>
      </c>
      <c r="N41" s="3" t="n"/>
      <c r="O41" s="3" t="n"/>
      <c r="P41" s="48" t="n"/>
      <c r="Q41" s="3" t="n"/>
      <c r="R41" s="3" t="n"/>
      <c r="S41" s="13" t="n"/>
      <c r="T41" s="13" t="n"/>
      <c r="U41" s="3" t="n"/>
      <c r="V41" s="13" t="n"/>
      <c r="W41" s="13" t="n"/>
      <c r="X41" s="3" t="n"/>
      <c r="Y41" s="35" t="n"/>
    </row>
    <row r="42" ht="15" customHeight="1">
      <c r="A42" s="3" t="n"/>
      <c r="B42" s="80" t="n"/>
      <c r="C42" s="116" t="n"/>
      <c r="D42" s="117" t="inlineStr">
        <is>
          <t>ฝ่ายส่งเสริม สาขาใหม่/ขยายสาขา</t>
        </is>
      </c>
      <c r="E42" s="27" t="n"/>
      <c r="F42" s="62" t="n"/>
      <c r="G42" s="14" t="inlineStr">
        <is>
          <t>WHP</t>
        </is>
      </c>
      <c r="H42" s="3" t="inlineStr">
        <is>
          <t>Not Start</t>
        </is>
      </c>
      <c r="I42" s="48" t="n">
        <v>0</v>
      </c>
      <c r="J42" s="3">
        <f>IF(H42="Done","Done",
   IF(L42=TODAY(),"Due",
      IF(L42&lt;TODAY(),"Overdue",
         IF(AND(L42&gt;TODAY(),L42&lt;=TODAY()+5),"Upcoming","OnTrack"))))</f>
        <v/>
      </c>
      <c r="K42" s="39" t="inlineStr">
        <is>
          <t>Wichai</t>
        </is>
      </c>
      <c r="L42" s="13" t="n">
        <v>46162</v>
      </c>
      <c r="M42" s="13" t="n"/>
      <c r="N42" s="3" t="n"/>
      <c r="O42" s="3" t="n"/>
      <c r="P42" s="48" t="n"/>
      <c r="Q42" s="3" t="n"/>
      <c r="R42" s="3" t="n"/>
      <c r="S42" s="13" t="n"/>
      <c r="T42" s="13" t="n"/>
      <c r="U42" s="3" t="n"/>
      <c r="V42" s="13" t="n"/>
      <c r="W42" s="13" t="n"/>
      <c r="X42" s="3" t="n"/>
      <c r="Y42" s="35" t="n"/>
    </row>
    <row r="43" ht="15" customHeight="1">
      <c r="A43" s="3" t="n"/>
      <c r="B43" s="80" t="n"/>
      <c r="C43" s="116" t="n"/>
      <c r="D43" s="117" t="inlineStr">
        <is>
          <t>ฝ่ายส่งเสริม แผนกส่งเสริม กลั่นกรอง/อนุมัติ</t>
        </is>
      </c>
      <c r="E43" s="27" t="n"/>
      <c r="F43" s="62" t="n"/>
      <c r="G43" s="14" t="inlineStr">
        <is>
          <t>WHP</t>
        </is>
      </c>
      <c r="H43" s="3" t="inlineStr">
        <is>
          <t>Not Start</t>
        </is>
      </c>
      <c r="I43" s="48" t="n">
        <v>0</v>
      </c>
      <c r="J43" s="3">
        <f>IF(H43="Done","Done",
   IF(L43=TODAY(),"Due",
      IF(L43&lt;TODAY(),"Overdue",
         IF(AND(L43&gt;TODAY(),L43&lt;=TODAY()+5),"Upcoming","OnTrack"))))</f>
        <v/>
      </c>
      <c r="K43" s="39" t="inlineStr">
        <is>
          <t>Wichai</t>
        </is>
      </c>
      <c r="L43" s="13" t="n">
        <v>46162</v>
      </c>
      <c r="M43" s="13" t="n"/>
      <c r="N43" s="3" t="n"/>
      <c r="O43" s="3" t="n"/>
      <c r="P43" s="48" t="n"/>
      <c r="Q43" s="3" t="n"/>
      <c r="R43" s="3" t="n"/>
      <c r="S43" s="13" t="n"/>
      <c r="T43" s="13" t="n"/>
      <c r="U43" s="3" t="n"/>
      <c r="V43" s="13" t="n"/>
      <c r="W43" s="13" t="n"/>
      <c r="X43" s="3" t="n"/>
      <c r="Y43" s="35" t="n"/>
    </row>
    <row r="44" ht="15" customHeight="1">
      <c r="A44" s="3" t="n"/>
      <c r="B44" s="80" t="n"/>
      <c r="C44" s="116" t="n"/>
      <c r="D44" s="117" t="inlineStr">
        <is>
          <t>ฝ่ายส่งเสริม ฝ่ายส่งเสริม กลั่นกรอง/อนุมัติ</t>
        </is>
      </c>
      <c r="E44" s="27" t="n"/>
      <c r="F44" s="62" t="n"/>
      <c r="G44" s="14" t="inlineStr">
        <is>
          <t>WHP</t>
        </is>
      </c>
      <c r="H44" s="3" t="inlineStr">
        <is>
          <t>Not Start</t>
        </is>
      </c>
      <c r="I44" s="48" t="n">
        <v>0</v>
      </c>
      <c r="J44" s="3">
        <f>IF(H44="Done","Done",
   IF(L44=TODAY(),"Due",
      IF(L44&lt;TODAY(),"Overdue",
         IF(AND(L44&gt;TODAY(),L44&lt;=TODAY()+5),"Upcoming","OnTrack"))))</f>
        <v/>
      </c>
      <c r="K44" s="39" t="inlineStr">
        <is>
          <t>Wichai</t>
        </is>
      </c>
      <c r="L44" s="13" t="n">
        <v>46162</v>
      </c>
      <c r="M44" s="13" t="n"/>
      <c r="N44" s="3" t="n"/>
      <c r="O44" s="3" t="n"/>
      <c r="P44" s="48" t="n"/>
      <c r="Q44" s="3" t="n"/>
      <c r="R44" s="3" t="n"/>
      <c r="S44" s="13" t="n"/>
      <c r="T44" s="13" t="n"/>
      <c r="U44" s="3" t="n"/>
      <c r="V44" s="13" t="n"/>
      <c r="W44" s="13" t="n"/>
      <c r="X44" s="3" t="n"/>
      <c r="Y44" s="35" t="n"/>
    </row>
    <row r="45" ht="15" customHeight="1">
      <c r="A45" s="3" t="n"/>
      <c r="B45" s="80" t="n"/>
      <c r="C45" s="116" t="n"/>
      <c r="D45" s="117" t="inlineStr">
        <is>
          <t>ฝ่ายส่งเสริม เอกสารพร้อมพิมพ์สัญญา</t>
        </is>
      </c>
      <c r="E45" s="27" t="n"/>
      <c r="F45" s="62" t="n"/>
      <c r="G45" s="14" t="inlineStr">
        <is>
          <t>WHP</t>
        </is>
      </c>
      <c r="H45" s="3" t="inlineStr">
        <is>
          <t>Not Start</t>
        </is>
      </c>
      <c r="I45" s="48" t="n">
        <v>0</v>
      </c>
      <c r="J45" s="3">
        <f>IF(H45="Done","Done",
   IF(L45=TODAY(),"Due",
      IF(L45&lt;TODAY(),"Overdue",
         IF(AND(L45&gt;TODAY(),L45&lt;=TODAY()+5),"Upcoming","OnTrack"))))</f>
        <v/>
      </c>
      <c r="K45" s="39" t="inlineStr">
        <is>
          <t>Wichai</t>
        </is>
      </c>
      <c r="L45" s="13" t="n">
        <v>46162</v>
      </c>
      <c r="M45" s="13" t="n"/>
      <c r="N45" s="3" t="n"/>
      <c r="O45" s="3" t="n"/>
      <c r="P45" s="48" t="n"/>
      <c r="Q45" s="3" t="n"/>
      <c r="R45" s="3" t="n"/>
      <c r="S45" s="13" t="n"/>
      <c r="T45" s="13" t="n"/>
      <c r="U45" s="3" t="n"/>
      <c r="V45" s="13" t="n"/>
      <c r="W45" s="13" t="n"/>
      <c r="X45" s="3" t="n"/>
      <c r="Y45" s="35" t="n"/>
    </row>
    <row r="46" ht="15" customHeight="1">
      <c r="A46" s="3" t="n"/>
      <c r="B46" s="80" t="n"/>
      <c r="C46" s="116" t="n"/>
      <c r="D46" s="117" t="inlineStr">
        <is>
          <t>ฝ่ายส่งเสริม ขอพิมพ์ซ่อมสัญญา</t>
        </is>
      </c>
      <c r="E46" s="27" t="n"/>
      <c r="F46" s="62" t="n"/>
      <c r="G46" s="14" t="inlineStr">
        <is>
          <t>WHP</t>
        </is>
      </c>
      <c r="H46" s="3" t="inlineStr">
        <is>
          <t>Not Start</t>
        </is>
      </c>
      <c r="I46" s="48" t="n">
        <v>0</v>
      </c>
      <c r="J46" s="3">
        <f>IF(H46="Done","Done",
   IF(L46=TODAY(),"Due",
      IF(L46&lt;TODAY(),"Overdue",
         IF(AND(L46&gt;TODAY(),L46&lt;=TODAY()+5),"Upcoming","OnTrack"))))</f>
        <v/>
      </c>
      <c r="K46" s="39" t="inlineStr">
        <is>
          <t>Wichai</t>
        </is>
      </c>
      <c r="L46" s="13" t="n">
        <v>46162</v>
      </c>
      <c r="M46" s="13" t="n"/>
      <c r="N46" s="3" t="n"/>
      <c r="O46" s="3" t="n"/>
      <c r="P46" s="48" t="n"/>
      <c r="Q46" s="3" t="n"/>
      <c r="R46" s="3" t="n"/>
      <c r="S46" s="13" t="n"/>
      <c r="T46" s="13" t="n"/>
      <c r="U46" s="3" t="n"/>
      <c r="V46" s="13" t="n"/>
      <c r="W46" s="13" t="n"/>
      <c r="X46" s="3" t="n"/>
      <c r="Y46" s="35" t="n"/>
    </row>
    <row r="47" ht="16.5" customHeight="1">
      <c r="A47" s="3" t="n"/>
      <c r="B47" s="80" t="n"/>
      <c r="C47" s="116" t="n"/>
      <c r="D47" s="118" t="inlineStr">
        <is>
          <t>ฝ่ายส่งเสริม กลั่นกรอง/อนุมัติ ใบอนุมัติจัดทำสัญญา</t>
        </is>
      </c>
      <c r="E47" s="27" t="n"/>
      <c r="F47" s="62" t="n"/>
      <c r="G47" s="14" t="inlineStr">
        <is>
          <t>WHP</t>
        </is>
      </c>
      <c r="H47" s="3" t="inlineStr">
        <is>
          <t>Not Start</t>
        </is>
      </c>
      <c r="I47" s="48" t="n">
        <v>0</v>
      </c>
      <c r="J47" s="3">
        <f>IF(H47="Done","Done",
   IF(L47=TODAY(),"Due",
      IF(L47&lt;TODAY(),"Overdue",
         IF(AND(L47&gt;TODAY(),L47&lt;=TODAY()+5),"Upcoming","OnTrack"))))</f>
        <v/>
      </c>
      <c r="K47" s="39" t="inlineStr">
        <is>
          <t>Wichai</t>
        </is>
      </c>
      <c r="L47" s="13" t="n">
        <v>46162</v>
      </c>
      <c r="M47" s="13" t="n"/>
      <c r="N47" s="3" t="n"/>
      <c r="O47" s="3" t="n"/>
      <c r="P47" s="48" t="n"/>
      <c r="Q47" s="3" t="n"/>
      <c r="R47" s="3" t="n"/>
      <c r="S47" s="13" t="n"/>
      <c r="T47" s="13" t="n"/>
      <c r="U47" s="3" t="n"/>
      <c r="V47" s="13" t="n"/>
      <c r="W47" s="13" t="n"/>
      <c r="X47" s="3" t="n"/>
      <c r="Y47" s="35" t="n"/>
    </row>
    <row r="48" ht="16.5" customHeight="1">
      <c r="A48" s="3" t="n"/>
      <c r="B48" s="80" t="n"/>
      <c r="C48" s="116" t="n"/>
      <c r="D48" s="118" t="inlineStr">
        <is>
          <t>ฝ่ายส่งเสริม แผนกส่งเสริม กลั่นกรอง/อนุมัติ พิมพ์ซ่อมสัญญา</t>
        </is>
      </c>
      <c r="E48" s="27" t="n"/>
      <c r="F48" s="62" t="n"/>
      <c r="G48" s="14" t="inlineStr">
        <is>
          <t>WHP</t>
        </is>
      </c>
      <c r="H48" s="3" t="inlineStr">
        <is>
          <t>Not Start</t>
        </is>
      </c>
      <c r="I48" s="48" t="n">
        <v>0</v>
      </c>
      <c r="J48" s="3">
        <f>IF(H48="Done","Done",
   IF(L48=TODAY(),"Due",
      IF(L48&lt;TODAY(),"Overdue",
         IF(AND(L48&gt;TODAY(),L48&lt;=TODAY()+5),"Upcoming","OnTrack"))))</f>
        <v/>
      </c>
      <c r="K48" s="39" t="inlineStr">
        <is>
          <t>Wichai</t>
        </is>
      </c>
      <c r="L48" s="13" t="n">
        <v>46162</v>
      </c>
      <c r="M48" s="13" t="n"/>
      <c r="N48" s="3" t="n"/>
      <c r="O48" s="3" t="n"/>
      <c r="P48" s="48" t="n"/>
      <c r="Q48" s="3" t="n"/>
      <c r="R48" s="3" t="n"/>
      <c r="S48" s="13" t="n"/>
      <c r="T48" s="13" t="n"/>
      <c r="U48" s="3" t="n"/>
      <c r="V48" s="13" t="n"/>
      <c r="W48" s="13" t="n"/>
      <c r="X48" s="3" t="n"/>
      <c r="Y48" s="35" t="n"/>
    </row>
    <row r="49" ht="15" customHeight="1">
      <c r="A49" s="3" t="n"/>
      <c r="B49" s="80" t="n"/>
      <c r="C49" s="116" t="n"/>
      <c r="D49" s="117" t="inlineStr">
        <is>
          <t>ฝ่ายกฏหมาย สร้างสัญญา/ใบอนุมัติการจัดทำสัญญา</t>
        </is>
      </c>
      <c r="E49" s="27" t="n"/>
      <c r="F49" s="62" t="n"/>
      <c r="G49" s="14" t="inlineStr">
        <is>
          <t>WHP</t>
        </is>
      </c>
      <c r="H49" s="122" t="inlineStr">
        <is>
          <t>Process</t>
        </is>
      </c>
      <c r="I49" s="48" t="n">
        <v>0</v>
      </c>
      <c r="J49" s="3">
        <f>IF(H49="Done","Done",
   IF(L49=TODAY(),"Due",
      IF(L49&lt;TODAY(),"Overdue",
         IF(AND(L49&gt;TODAY(),L49&lt;=TODAY()+5),"Upcoming","OnTrack"))))</f>
        <v/>
      </c>
      <c r="K49" s="39" t="inlineStr">
        <is>
          <t>Phumiphat</t>
        </is>
      </c>
      <c r="L49" s="13" t="n">
        <v>46162</v>
      </c>
      <c r="M49" s="13" t="n"/>
      <c r="N49" s="3" t="n"/>
      <c r="O49" s="3" t="n"/>
      <c r="P49" s="48" t="n"/>
      <c r="Q49" s="3" t="n"/>
      <c r="R49" s="3" t="n"/>
      <c r="S49" s="13" t="n"/>
      <c r="T49" s="13" t="n"/>
      <c r="U49" s="3" t="n"/>
      <c r="V49" s="13" t="n"/>
      <c r="W49" s="13" t="n"/>
      <c r="X49" s="3" t="n"/>
      <c r="Y49" s="35" t="n"/>
    </row>
    <row r="50" ht="15" customHeight="1">
      <c r="A50" s="3" t="n"/>
      <c r="B50" s="80" t="n"/>
      <c r="C50" s="116" t="n"/>
      <c r="D50" s="117" t="inlineStr">
        <is>
          <t>ฝ่ายกฏหมาย แผนก/ฝ่ายกฏหมาย กลั่นกรอง/อนุมัติ</t>
        </is>
      </c>
      <c r="E50" s="27" t="n"/>
      <c r="F50" s="62" t="n"/>
      <c r="G50" s="14" t="inlineStr">
        <is>
          <t>WHP</t>
        </is>
      </c>
      <c r="H50" s="3" t="inlineStr">
        <is>
          <t>Not Start</t>
        </is>
      </c>
      <c r="I50" s="48" t="n">
        <v>0</v>
      </c>
      <c r="J50" s="3">
        <f>IF(H50="Done","Done",
   IF(L50=TODAY(),"Due",
      IF(L50&lt;TODAY(),"Overdue",
         IF(AND(L50&gt;TODAY(),L50&lt;=TODAY()+5),"Upcoming","OnTrack"))))</f>
        <v/>
      </c>
      <c r="K50" s="39" t="inlineStr">
        <is>
          <t>Phumiphat</t>
        </is>
      </c>
      <c r="L50" s="13" t="n">
        <v>46162</v>
      </c>
      <c r="M50" s="13" t="n"/>
      <c r="N50" s="3" t="n"/>
      <c r="O50" s="3" t="n"/>
      <c r="P50" s="48" t="n"/>
      <c r="Q50" s="3" t="n"/>
      <c r="R50" s="3" t="n"/>
      <c r="S50" s="13" t="n"/>
      <c r="T50" s="13" t="n"/>
      <c r="U50" s="3" t="n"/>
      <c r="V50" s="13" t="n"/>
      <c r="W50" s="13" t="n"/>
      <c r="X50" s="3" t="n"/>
      <c r="Y50" s="35" t="n"/>
    </row>
    <row r="51" ht="15" customHeight="1">
      <c r="A51" s="3" t="n"/>
      <c r="B51" s="80" t="n"/>
      <c r="C51" s="116" t="n"/>
      <c r="D51" s="117" t="inlineStr">
        <is>
          <t>ฝ่ายกฏหมาย แก้ไข Template</t>
        </is>
      </c>
      <c r="E51" s="27" t="n"/>
      <c r="F51" s="62" t="n"/>
      <c r="G51" s="14" t="inlineStr">
        <is>
          <t>WHP</t>
        </is>
      </c>
      <c r="H51" s="3" t="inlineStr">
        <is>
          <t>Not Start</t>
        </is>
      </c>
      <c r="I51" s="48" t="n">
        <v>0</v>
      </c>
      <c r="J51" s="3">
        <f>IF(H51="Done","Done",
   IF(L51=TODAY(),"Due",
      IF(L51&lt;TODAY(),"Overdue",
         IF(AND(L51&gt;TODAY(),L51&lt;=TODAY()+5),"Upcoming","OnTrack"))))</f>
        <v/>
      </c>
      <c r="K51" s="39" t="inlineStr">
        <is>
          <t>Phumiphat</t>
        </is>
      </c>
      <c r="L51" s="13" t="n">
        <v>46162</v>
      </c>
      <c r="M51" s="13" t="n"/>
      <c r="N51" s="3" t="n"/>
      <c r="O51" s="3" t="n"/>
      <c r="P51" s="48" t="n"/>
      <c r="Q51" s="3" t="n"/>
      <c r="R51" s="3" t="n"/>
      <c r="S51" s="13" t="n"/>
      <c r="T51" s="13" t="n"/>
      <c r="U51" s="3" t="n"/>
      <c r="V51" s="13" t="n"/>
      <c r="W51" s="13" t="n"/>
      <c r="X51" s="3" t="n"/>
      <c r="Y51" s="35" t="n"/>
    </row>
    <row r="52" ht="15" customHeight="1">
      <c r="A52" s="3" t="n"/>
      <c r="B52" s="80" t="n"/>
      <c r="C52" s="116" t="n"/>
      <c r="D52" s="117" t="inlineStr">
        <is>
          <t>ฝ่ายบริหาร MM2 อนุมัติ</t>
        </is>
      </c>
      <c r="E52" s="27" t="n"/>
      <c r="F52" s="62" t="n"/>
      <c r="G52" s="14" t="inlineStr">
        <is>
          <t>WHP</t>
        </is>
      </c>
      <c r="H52" s="3" t="inlineStr">
        <is>
          <t>Not Start</t>
        </is>
      </c>
      <c r="I52" s="48" t="n">
        <v>0</v>
      </c>
      <c r="J52" s="3">
        <f>IF(H52="Done","Done",
   IF(L52=TODAY(),"Due",
      IF(L52&lt;TODAY(),"Overdue",
         IF(AND(L52&gt;TODAY(),L52&lt;=TODAY()+5),"Upcoming","OnTrack"))))</f>
        <v/>
      </c>
      <c r="K52" s="39" t="inlineStr">
        <is>
          <t>Phumiphat</t>
        </is>
      </c>
      <c r="L52" s="13" t="n">
        <v>46164</v>
      </c>
      <c r="M52" s="13" t="n"/>
      <c r="N52" s="3" t="n"/>
      <c r="O52" s="3" t="n"/>
      <c r="P52" s="48" t="n"/>
      <c r="Q52" s="3" t="n"/>
      <c r="R52" s="3" t="n"/>
      <c r="S52" s="13" t="n"/>
      <c r="T52" s="13" t="n"/>
      <c r="U52" s="3" t="n"/>
      <c r="V52" s="13" t="n"/>
      <c r="W52" s="13" t="n"/>
      <c r="X52" s="3" t="n"/>
      <c r="Y52" s="35" t="n"/>
    </row>
    <row r="53" ht="15" customHeight="1">
      <c r="A53" s="3" t="n"/>
      <c r="B53" s="80" t="n"/>
      <c r="C53" s="116" t="n"/>
      <c r="D53" s="117" t="inlineStr">
        <is>
          <t>ฝ่ายบริหาร MM1 อนุมัติ</t>
        </is>
      </c>
      <c r="E53" s="27" t="n"/>
      <c r="F53" s="62" t="n"/>
      <c r="G53" s="14" t="inlineStr">
        <is>
          <t>WHP</t>
        </is>
      </c>
      <c r="H53" s="3" t="inlineStr">
        <is>
          <t>Not Start</t>
        </is>
      </c>
      <c r="I53" s="48" t="n">
        <v>0</v>
      </c>
      <c r="J53" s="3">
        <f>IF(H53="Done","Done",
   IF(L53=TODAY(),"Due",
      IF(L53&lt;TODAY(),"Overdue",
         IF(AND(L53&gt;TODAY(),L53&lt;=TODAY()+5),"Upcoming","OnTrack"))))</f>
        <v/>
      </c>
      <c r="K53" s="39" t="inlineStr">
        <is>
          <t>Phumiphat</t>
        </is>
      </c>
      <c r="L53" s="13" t="n">
        <v>46164</v>
      </c>
      <c r="M53" s="13" t="n"/>
      <c r="N53" s="3" t="n"/>
      <c r="O53" s="3" t="n"/>
      <c r="P53" s="48" t="n"/>
      <c r="Q53" s="3" t="n"/>
      <c r="R53" s="3" t="n"/>
      <c r="S53" s="13" t="n"/>
      <c r="T53" s="13" t="n"/>
      <c r="U53" s="3" t="n"/>
      <c r="V53" s="13" t="n"/>
      <c r="W53" s="13" t="n"/>
      <c r="X53" s="3" t="n"/>
      <c r="Y53" s="35" t="n"/>
    </row>
    <row r="54" ht="15" customHeight="1">
      <c r="A54" s="3" t="n"/>
      <c r="B54" s="80" t="n"/>
      <c r="C54" s="116" t="n"/>
      <c r="D54" s="117" t="inlineStr">
        <is>
          <t>ทั่วไป ตรวจสอบสถานะ</t>
        </is>
      </c>
      <c r="E54" s="27" t="n"/>
      <c r="F54" s="62" t="n"/>
      <c r="G54" s="14" t="inlineStr">
        <is>
          <t>WHP</t>
        </is>
      </c>
      <c r="H54" s="3" t="inlineStr">
        <is>
          <t>Not Start</t>
        </is>
      </c>
      <c r="I54" s="48" t="n">
        <v>0</v>
      </c>
      <c r="J54" s="3">
        <f>IF(H54="Done","Done",
   IF(L54=TODAY(),"Due",
      IF(L54&lt;TODAY(),"Overdue",
         IF(AND(L54&gt;TODAY(),L54&lt;=TODAY()+5),"Upcoming","OnTrack"))))</f>
        <v/>
      </c>
      <c r="K54" s="39" t="inlineStr">
        <is>
          <t>Phumiphat</t>
        </is>
      </c>
      <c r="L54" s="13" t="n">
        <v>46168</v>
      </c>
      <c r="M54" s="13" t="n"/>
      <c r="N54" s="3" t="n"/>
      <c r="O54" s="3" t="n"/>
      <c r="P54" s="48" t="n"/>
      <c r="Q54" s="3" t="n"/>
      <c r="R54" s="3" t="n"/>
      <c r="S54" s="13" t="n"/>
      <c r="T54" s="13" t="n"/>
      <c r="U54" s="3" t="n"/>
      <c r="V54" s="13" t="n"/>
      <c r="W54" s="13" t="n"/>
      <c r="X54" s="3" t="n"/>
      <c r="Y54" s="35" t="n"/>
    </row>
    <row r="55" ht="15" customHeight="1">
      <c r="A55" s="3" t="n"/>
      <c r="B55" s="80" t="n"/>
      <c r="C55" s="116" t="n"/>
      <c r="D55" s="120" t="inlineStr">
        <is>
          <t>ทั่วไป รายงานสำหรับหน่วยงานบัญชี</t>
        </is>
      </c>
      <c r="E55" s="27" t="n"/>
      <c r="F55" s="62" t="n"/>
      <c r="G55" s="14" t="inlineStr">
        <is>
          <t>WHP</t>
        </is>
      </c>
      <c r="H55" s="3" t="inlineStr">
        <is>
          <t>Not Start</t>
        </is>
      </c>
      <c r="I55" s="48" t="n">
        <v>0</v>
      </c>
      <c r="J55" s="3">
        <f>IF(H55="Done","Done",
   IF(L55=TODAY(),"Due",
      IF(L55&lt;TODAY(),"Overdue",
         IF(AND(L55&gt;TODAY(),L55&lt;=TODAY()+5),"Upcoming","OnTrack"))))</f>
        <v/>
      </c>
      <c r="K55" s="39" t="inlineStr">
        <is>
          <t>Phumiphat</t>
        </is>
      </c>
      <c r="L55" s="13" t="n">
        <v>46168</v>
      </c>
      <c r="M55" s="13" t="n"/>
      <c r="N55" s="3" t="n"/>
      <c r="O55" s="3" t="n"/>
      <c r="P55" s="48" t="n"/>
      <c r="Q55" s="3" t="n"/>
      <c r="R55" s="3" t="n"/>
      <c r="S55" s="13" t="n"/>
      <c r="T55" s="13" t="n"/>
      <c r="U55" s="3" t="n"/>
      <c r="V55" s="13" t="n"/>
      <c r="W55" s="13" t="n"/>
      <c r="X55" s="3" t="n"/>
      <c r="Y55" s="35" t="n"/>
    </row>
    <row r="56" ht="15" customHeight="1">
      <c r="A56" s="3" t="n"/>
      <c r="B56" s="93" t="inlineStr">
        <is>
          <t>Phase #4</t>
        </is>
      </c>
      <c r="C56" s="133" t="inlineStr">
        <is>
          <t>2.1 Contract Management (ร้านพร้อมโอน)</t>
        </is>
      </c>
      <c r="D56" s="152" t="n"/>
      <c r="E56" s="12" t="n"/>
      <c r="F56" s="3" t="n"/>
      <c r="G56" s="14" t="n"/>
      <c r="H56" s="3" t="n"/>
      <c r="I56" s="45">
        <f>(SUM(I57:I64)/3)</f>
        <v/>
      </c>
      <c r="J56" s="3" t="n"/>
      <c r="K56" s="3" t="n"/>
      <c r="L56" s="13" t="n"/>
      <c r="M56" s="13" t="n"/>
      <c r="N56" s="3" t="n"/>
      <c r="O56" s="3" t="n"/>
      <c r="P56" s="45">
        <f>(SUM(P57:P64)/3)</f>
        <v/>
      </c>
      <c r="Q56" s="3" t="n"/>
      <c r="R56" s="3" t="n"/>
      <c r="S56" s="13" t="n"/>
      <c r="T56" s="13" t="n"/>
      <c r="U56" s="3" t="n"/>
      <c r="V56" s="3" t="n"/>
      <c r="W56" s="3" t="n"/>
      <c r="X56" s="3" t="n"/>
      <c r="Y56" s="35" t="n"/>
    </row>
    <row r="57" ht="15" customHeight="1">
      <c r="A57" s="10" t="n">
        <v>21</v>
      </c>
      <c r="B57" s="10" t="n"/>
      <c r="C57" s="4" t="n"/>
      <c r="D57" s="117" t="inlineStr">
        <is>
          <t>Job นำเข้าข้อมูลตั้งต้นจาก File ข้อมูล</t>
        </is>
      </c>
      <c r="E57" s="121" t="inlineStr">
        <is>
          <t>Link</t>
        </is>
      </c>
      <c r="F57" s="3" t="n"/>
      <c r="G57" s="14" t="n"/>
      <c r="H57" s="22" t="inlineStr">
        <is>
          <t>Done</t>
        </is>
      </c>
      <c r="I57" s="48" t="n">
        <v>0</v>
      </c>
      <c r="J57" s="3">
        <f>IF(H57="Done","Done",
   IF(L57=TODAY(),"Due",
      IF(L57&lt;TODAY(),"Overdue",
         IF(AND(L57&gt;TODAY(),L57&lt;=TODAY()+5),"Upcoming","OnTrack"))))</f>
        <v/>
      </c>
      <c r="K57" s="14" t="inlineStr">
        <is>
          <t>Sangduan &lt;Duan&gt; J.</t>
        </is>
      </c>
      <c r="L57" s="13" t="n">
        <v>46167</v>
      </c>
      <c r="M57" s="13" t="n">
        <v>46171</v>
      </c>
      <c r="N57" s="13" t="n">
        <v>46178</v>
      </c>
      <c r="O57" s="3" t="inlineStr">
        <is>
          <t>Not Start</t>
        </is>
      </c>
      <c r="P57" s="48" t="n">
        <v>0</v>
      </c>
      <c r="Q57" s="3">
        <f>IF(O57="Not Start","Not Start",
   IF(AND(O57="Done",U57&gt;T57),"Done with Overdue",
      IF(O57="Done","Done",
         IF(T57=TODAY(),"Due",
            IF(T57&lt;TODAY(),"Overdue",
               IF(AND(T57&gt;TODAY(),T57&lt;=TODAY()+5),"Upcoming","On Track"))))))</f>
        <v/>
      </c>
      <c r="R57" s="3" t="inlineStr">
        <is>
          <t>Suphachai &lt;To&gt; S.</t>
        </is>
      </c>
      <c r="S57" s="13" t="n">
        <v>46171</v>
      </c>
      <c r="T57" s="13" t="n">
        <v>46183</v>
      </c>
      <c r="U57" s="3" t="n"/>
      <c r="V57" s="13" t="n">
        <v>46167</v>
      </c>
      <c r="W57" s="13" t="n">
        <v>46234</v>
      </c>
      <c r="X57" s="3" t="n"/>
      <c r="Y57" s="35" t="n"/>
    </row>
    <row r="58" ht="15" customHeight="1">
      <c r="A58" s="11" t="n">
        <v>22</v>
      </c>
      <c r="B58" s="11" t="n"/>
      <c r="C58" s="5" t="n"/>
      <c r="D58" s="117" t="inlineStr">
        <is>
          <t>Job นำเข้าข้อมูลตั้งต้นผ่าน API</t>
        </is>
      </c>
      <c r="E58" s="121" t="inlineStr">
        <is>
          <t>Link</t>
        </is>
      </c>
      <c r="F58" s="3" t="n"/>
      <c r="G58" s="14" t="n"/>
      <c r="H58" s="22" t="inlineStr">
        <is>
          <t>Done</t>
        </is>
      </c>
      <c r="I58" s="48" t="n">
        <v>0</v>
      </c>
      <c r="J58" s="3">
        <f>IF(H58="Done","Done",
   IF(L58=TODAY(),"Due",
      IF(L58&lt;TODAY(),"Overdue",
         IF(AND(L58&gt;TODAY(),L58&lt;=TODAY()+5),"Upcoming","OnTrack"))))</f>
        <v/>
      </c>
      <c r="K58" s="14" t="inlineStr">
        <is>
          <t>Sangduan &lt;Duan&gt; J.</t>
        </is>
      </c>
      <c r="L58" s="13" t="n">
        <v>46168</v>
      </c>
      <c r="M58" s="13" t="n">
        <v>46171</v>
      </c>
      <c r="N58" s="13" t="n">
        <v>46178</v>
      </c>
      <c r="O58" s="3" t="inlineStr">
        <is>
          <t>Not Start</t>
        </is>
      </c>
      <c r="P58" s="48" t="n">
        <v>0</v>
      </c>
      <c r="Q58" s="3">
        <f>IF(O58="Not Start","Not Start",
   IF(AND(O58="Done",U58&gt;T58),"Done with Overdue",
      IF(O58="Done","Done",
         IF(T58=TODAY(),"Due",
            IF(T58&lt;TODAY(),"Overdue",
               IF(AND(T58&gt;TODAY(),T58&lt;=TODAY()+5),"Upcoming","On Track"))))))</f>
        <v/>
      </c>
      <c r="R58" s="3" t="inlineStr">
        <is>
          <t>Suphachai &lt;To&gt; S.</t>
        </is>
      </c>
      <c r="S58" s="13" t="n">
        <v>46171</v>
      </c>
      <c r="T58" s="13" t="n">
        <v>46183</v>
      </c>
      <c r="U58" s="3" t="n"/>
      <c r="V58" s="13" t="n">
        <v>46167</v>
      </c>
      <c r="W58" s="13" t="n">
        <v>46234</v>
      </c>
      <c r="X58" s="3" t="n"/>
      <c r="Y58" s="35" t="n"/>
    </row>
    <row r="59" ht="15" customHeight="1">
      <c r="A59" s="3" t="n">
        <v>23</v>
      </c>
      <c r="B59" s="3" t="n"/>
      <c r="C59" s="17" t="n"/>
      <c r="D59" s="117" t="inlineStr">
        <is>
          <t>หน้าจอนำเข้าข้อมูลตั้งต้น</t>
        </is>
      </c>
      <c r="E59" s="121" t="inlineStr">
        <is>
          <t>Link</t>
        </is>
      </c>
      <c r="F59" s="3" t="n"/>
      <c r="G59" s="30" t="n"/>
      <c r="H59" s="22" t="inlineStr">
        <is>
          <t>Done</t>
        </is>
      </c>
      <c r="I59" s="48" t="n">
        <v>0</v>
      </c>
      <c r="J59" s="3">
        <f>IF(H59="Done","Done",
   IF(L59=TODAY(),"Due",
      IF(L59&lt;TODAY(),"Overdue",
         IF(AND(L59&gt;TODAY(),L59&lt;=TODAY()+5),"Upcoming","OnTrack"))))</f>
        <v/>
      </c>
      <c r="K59" s="14" t="inlineStr">
        <is>
          <t>Sangduan &lt;Duan&gt; J.</t>
        </is>
      </c>
      <c r="L59" s="13" t="n">
        <v>46169</v>
      </c>
      <c r="M59" s="13" t="n">
        <v>46171</v>
      </c>
      <c r="N59" s="13" t="n">
        <v>46178</v>
      </c>
      <c r="O59" s="3" t="inlineStr">
        <is>
          <t>Not Start</t>
        </is>
      </c>
      <c r="P59" s="48" t="n">
        <v>0</v>
      </c>
      <c r="Q59" s="3">
        <f>IF(O59="Not Start","Not Start",
   IF(AND(O59="Done",U59&gt;T59),"Done with Overdue",
      IF(O59="Done","Done",
         IF(T59=TODAY(),"Due",
            IF(T59&lt;TODAY(),"Overdue",
               IF(AND(T59&gt;TODAY(),T59&lt;=TODAY()+5),"Upcoming","On Track"))))))</f>
        <v/>
      </c>
      <c r="R59" s="3" t="inlineStr">
        <is>
          <t>Suphachai &lt;To&gt; S.</t>
        </is>
      </c>
      <c r="S59" s="13" t="n">
        <v>46171</v>
      </c>
      <c r="T59" s="13" t="n">
        <v>46183</v>
      </c>
      <c r="U59" s="3" t="n"/>
      <c r="V59" s="13" t="n">
        <v>46167</v>
      </c>
      <c r="W59" s="13" t="n">
        <v>46234</v>
      </c>
      <c r="X59" s="3" t="n"/>
      <c r="Y59" s="35" t="n"/>
    </row>
    <row r="60" ht="15" customHeight="1">
      <c r="A60" s="10" t="n">
        <v>21</v>
      </c>
      <c r="B60" s="10" t="n"/>
      <c r="C60" s="4" t="n"/>
      <c r="D60" s="117" t="inlineStr">
        <is>
          <t xml:space="preserve">หน้าจอร้านพร้อมโอนเป็น SBP </t>
        </is>
      </c>
      <c r="E60" s="121" t="inlineStr">
        <is>
          <t>Link</t>
        </is>
      </c>
      <c r="F60" s="3" t="n"/>
      <c r="G60" s="14" t="n"/>
      <c r="H60" s="22" t="inlineStr">
        <is>
          <t>Done</t>
        </is>
      </c>
      <c r="I60" s="48" t="n">
        <v>0</v>
      </c>
      <c r="J60" s="3">
        <f>IF(H60="Done","Done",
   IF(L60=TODAY(),"Due",
      IF(L60&lt;TODAY(),"Overdue",
         IF(AND(L60&gt;TODAY(),L60&lt;=TODAY()+5),"Upcoming","OnTrack"))))</f>
        <v/>
      </c>
      <c r="K60" s="14" t="inlineStr">
        <is>
          <t>Sangduan &lt;Duan&gt; J.</t>
        </is>
      </c>
      <c r="L60" s="13" t="n">
        <v>46170</v>
      </c>
      <c r="M60" s="13" t="n">
        <v>46177</v>
      </c>
      <c r="N60" s="13" t="n">
        <v>46178</v>
      </c>
      <c r="O60" s="3" t="inlineStr">
        <is>
          <t>Not Start</t>
        </is>
      </c>
      <c r="P60" s="48" t="n">
        <v>0</v>
      </c>
      <c r="Q60" s="3">
        <f>IF(O60="Not Start","Not Start",
   IF(AND(O60="Done",U60&gt;T60),"Done with Overdue",
      IF(O60="Done","Done",
         IF(T60=TODAY(),"Due",
            IF(T60&lt;TODAY(),"Overdue",
               IF(AND(T60&gt;TODAY(),T60&lt;=TODAY()+5),"Upcoming","On Track"))))))</f>
        <v/>
      </c>
      <c r="R60" s="3" t="inlineStr">
        <is>
          <t>Suphachai &lt;To&gt; S.</t>
        </is>
      </c>
      <c r="S60" s="13" t="n">
        <v>46175</v>
      </c>
      <c r="T60" s="13" t="n">
        <v>46183</v>
      </c>
      <c r="U60" s="3" t="n"/>
      <c r="V60" s="13" t="n">
        <v>46167</v>
      </c>
      <c r="W60" s="13" t="n">
        <v>46234</v>
      </c>
      <c r="X60" s="3" t="n"/>
      <c r="Y60" s="35" t="n"/>
    </row>
    <row r="61" ht="15" customHeight="1">
      <c r="A61" s="11" t="n">
        <v>22</v>
      </c>
      <c r="B61" s="11" t="n"/>
      <c r="C61" s="5" t="n"/>
      <c r="D61" s="117" t="inlineStr">
        <is>
          <t>Job ประมวลผลร้านพร้อมโอน</t>
        </is>
      </c>
      <c r="E61" s="3" t="n"/>
      <c r="F61" s="3" t="n"/>
      <c r="G61" s="14" t="n"/>
      <c r="H61" s="122" t="inlineStr">
        <is>
          <t>Process</t>
        </is>
      </c>
      <c r="I61" s="48" t="n">
        <v>0</v>
      </c>
      <c r="J61" s="3">
        <f>IF(H61="Done","Done",
   IF(L61=TODAY(),"Due",
      IF(L61&lt;TODAY(),"Overdue",
         IF(AND(L61&gt;TODAY(),L61&lt;=TODAY()+5),"Upcoming","OnTrack"))))</f>
        <v/>
      </c>
      <c r="K61" s="14" t="inlineStr">
        <is>
          <t>Sangduan &lt;Duan&gt; J.</t>
        </is>
      </c>
      <c r="L61" s="13" t="n">
        <v>46175</v>
      </c>
      <c r="M61" s="13" t="n"/>
      <c r="N61" s="13" t="n"/>
      <c r="O61" s="3" t="inlineStr">
        <is>
          <t>Not Start</t>
        </is>
      </c>
      <c r="P61" s="48" t="n">
        <v>0</v>
      </c>
      <c r="Q61" s="3">
        <f>IF(O61="Not Start","Not Start",
   IF(AND(O61="Done",U61&gt;T61),"Done with Overdue",
      IF(O61="Done","Done",
         IF(T61=TODAY(),"Due",
            IF(T61&lt;TODAY(),"Overdue",
               IF(AND(T61&gt;TODAY(),T61&lt;=TODAY()+5),"Upcoming","On Track"))))))</f>
        <v/>
      </c>
      <c r="R61" s="3" t="inlineStr">
        <is>
          <t>Suphachai &lt;To&gt; S.</t>
        </is>
      </c>
      <c r="S61" s="13" t="n">
        <v>46178</v>
      </c>
      <c r="T61" s="13" t="n"/>
      <c r="U61" s="3" t="n"/>
      <c r="V61" s="13" t="n">
        <v>46167</v>
      </c>
      <c r="W61" s="13" t="n">
        <v>46234</v>
      </c>
      <c r="X61" s="3" t="n"/>
      <c r="Y61" s="35" t="n"/>
    </row>
    <row r="62" ht="15" customHeight="1">
      <c r="A62" s="3" t="n">
        <v>23</v>
      </c>
      <c r="B62" s="3" t="n"/>
      <c r="C62" s="17" t="n"/>
      <c r="D62" s="117" t="inlineStr">
        <is>
          <t>การอนุมัติร้านพร้อมโอนเป็น SBP</t>
        </is>
      </c>
      <c r="E62" s="3" t="n"/>
      <c r="F62" s="3" t="n"/>
      <c r="G62" s="30" t="n"/>
      <c r="H62" s="122" t="inlineStr">
        <is>
          <t>Process</t>
        </is>
      </c>
      <c r="I62" s="48" t="n">
        <v>0</v>
      </c>
      <c r="J62" s="3">
        <f>IF(H62="Done","Done",
   IF(L62=TODAY(),"Due",
      IF(L62&lt;TODAY(),"Overdue",
         IF(AND(L62&gt;TODAY(),L62&lt;=TODAY()+5),"Upcoming","OnTrack"))))</f>
        <v/>
      </c>
      <c r="K62" s="14" t="inlineStr">
        <is>
          <t>Sangduan &lt;Duan&gt; J.</t>
        </is>
      </c>
      <c r="L62" s="13" t="n">
        <v>46178</v>
      </c>
      <c r="M62" s="13" t="n"/>
      <c r="N62" s="13" t="n"/>
      <c r="O62" s="3" t="inlineStr">
        <is>
          <t>Not Start</t>
        </is>
      </c>
      <c r="P62" s="48" t="n">
        <v>0</v>
      </c>
      <c r="Q62" s="3">
        <f>IF(O62="Not Start","Not Start",
   IF(AND(O62="Done",U62&gt;T62),"Done with Overdue",
      IF(O62="Done","Done",
         IF(T62=TODAY(),"Due",
            IF(T62&lt;TODAY(),"Overdue",
               IF(AND(T62&gt;TODAY(),T62&lt;=TODAY()+5),"Upcoming","On Track"))))))</f>
        <v/>
      </c>
      <c r="R62" s="3" t="inlineStr">
        <is>
          <t>Suphachai &lt;To&gt; S.</t>
        </is>
      </c>
      <c r="S62" s="13" t="n">
        <v>46182</v>
      </c>
      <c r="T62" s="13" t="n"/>
      <c r="U62" s="3" t="n"/>
      <c r="V62" s="13" t="n">
        <v>46167</v>
      </c>
      <c r="W62" s="13" t="n">
        <v>46234</v>
      </c>
      <c r="X62" s="3" t="n"/>
      <c r="Y62" s="35" t="n"/>
    </row>
    <row r="63" ht="15" customHeight="1">
      <c r="A63" s="10" t="n">
        <v>21</v>
      </c>
      <c r="B63" s="10" t="n"/>
      <c r="C63" s="4" t="n"/>
      <c r="D63" s="117" t="inlineStr">
        <is>
          <t>รายงานร้านพร้อมโอนเป็น SBP</t>
        </is>
      </c>
      <c r="E63" s="3" t="n"/>
      <c r="F63" s="3" t="n"/>
      <c r="G63" s="14" t="n"/>
      <c r="H63" s="3" t="inlineStr">
        <is>
          <t>Not Start</t>
        </is>
      </c>
      <c r="I63" s="48" t="n">
        <v>0</v>
      </c>
      <c r="J63" s="3">
        <f>IF(H63="Done","Done",
   IF(L63=TODAY(),"Due",
      IF(L63&lt;TODAY(),"Overdue",
         IF(AND(L63&gt;TODAY(),L63&lt;=TODAY()+5),"Upcoming","OnTrack"))))</f>
        <v/>
      </c>
      <c r="K63" s="14" t="inlineStr">
        <is>
          <t>Sangduan &lt;Duan&gt; J.</t>
        </is>
      </c>
      <c r="L63" s="13" t="n">
        <v>46181</v>
      </c>
      <c r="M63" s="13" t="n"/>
      <c r="N63" s="13" t="n"/>
      <c r="O63" s="3" t="inlineStr">
        <is>
          <t>Not Start</t>
        </is>
      </c>
      <c r="P63" s="48" t="n">
        <v>0</v>
      </c>
      <c r="Q63" s="3">
        <f>IF(O63="Not Start","Not Start",
   IF(AND(O63="Done",U63&gt;T63),"Done with Overdue",
      IF(O63="Done","Done",
         IF(T63=TODAY(),"Due",
            IF(T63&lt;TODAY(),"Overdue",
               IF(AND(T63&gt;TODAY(),T63&lt;=TODAY()+5),"Upcoming","On Track"))))))</f>
        <v/>
      </c>
      <c r="R63" s="3" t="inlineStr">
        <is>
          <t>Suphachai &lt;To&gt; S.</t>
        </is>
      </c>
      <c r="S63" s="13" t="n">
        <v>46185</v>
      </c>
      <c r="T63" s="13" t="n"/>
      <c r="U63" s="3" t="n"/>
      <c r="V63" s="13" t="n">
        <v>46167</v>
      </c>
      <c r="W63" s="13" t="n">
        <v>46234</v>
      </c>
      <c r="X63" s="3" t="n"/>
      <c r="Y63" s="35" t="n"/>
    </row>
    <row r="64" ht="15" customHeight="1">
      <c r="A64" s="11" t="n">
        <v>22</v>
      </c>
      <c r="B64" s="11" t="n"/>
      <c r="C64" s="5" t="n"/>
      <c r="D64" s="117" t="inlineStr">
        <is>
          <t>Job Purge ข้อมูลเก่า</t>
        </is>
      </c>
      <c r="E64" s="3" t="n"/>
      <c r="F64" s="3" t="n"/>
      <c r="G64" s="14" t="n"/>
      <c r="H64" s="3" t="inlineStr">
        <is>
          <t>Not Start</t>
        </is>
      </c>
      <c r="I64" s="48" t="n">
        <v>0</v>
      </c>
      <c r="J64" s="3">
        <f>IF(H64="Done","Done",
   IF(L64=TODAY(),"Due",
      IF(L64&lt;TODAY(),"Overdue",
         IF(AND(L64&gt;TODAY(),L64&lt;=TODAY()+5),"Upcoming","OnTrack"))))</f>
        <v/>
      </c>
      <c r="K64" s="14" t="inlineStr">
        <is>
          <t>Sangduan &lt;Duan&gt; J.</t>
        </is>
      </c>
      <c r="L64" s="13" t="n">
        <v>46182</v>
      </c>
      <c r="M64" s="13" t="n"/>
      <c r="N64" s="13" t="n"/>
      <c r="O64" s="3" t="inlineStr">
        <is>
          <t>Not Start</t>
        </is>
      </c>
      <c r="P64" s="48" t="n">
        <v>0</v>
      </c>
      <c r="Q64" s="3">
        <f>IF(O64="Not Start","Not Start",
   IF(AND(O64="Done",U64&gt;T64),"Done with Overdue",
      IF(O64="Done","Done",
         IF(T64=TODAY(),"Due",
            IF(T64&lt;TODAY(),"Overdue",
               IF(AND(T64&gt;TODAY(),T64&lt;=TODAY()+5),"Upcoming","On Track"))))))</f>
        <v/>
      </c>
      <c r="R64" s="3" t="inlineStr">
        <is>
          <t>Suphachai &lt;To&gt; S.</t>
        </is>
      </c>
      <c r="S64" s="13" t="n">
        <v>46189</v>
      </c>
      <c r="T64" s="13" t="n"/>
      <c r="U64" s="3" t="n"/>
      <c r="V64" s="13" t="n">
        <v>46167</v>
      </c>
      <c r="W64" s="13" t="n">
        <v>46234</v>
      </c>
      <c r="X64" s="3" t="n"/>
      <c r="Y64" s="35" t="n"/>
    </row>
    <row r="65" hidden="1" ht="15" customHeight="1">
      <c r="A65" s="12" t="n"/>
      <c r="B65" s="93" t="inlineStr">
        <is>
          <t>Phase #3</t>
        </is>
      </c>
      <c r="C65" s="135" t="inlineStr">
        <is>
          <t>3. Training Management</t>
        </is>
      </c>
      <c r="D65" s="148" t="n"/>
      <c r="E65" s="3" t="n"/>
      <c r="F65" s="3" t="n"/>
      <c r="G65" s="3" t="n"/>
      <c r="H65" s="3" t="n"/>
      <c r="I65" s="45">
        <f>(SUM(I66:I66)/1)</f>
        <v/>
      </c>
      <c r="J65" s="3" t="n"/>
      <c r="K65" s="3" t="n"/>
      <c r="L65" s="13" t="n"/>
      <c r="M65" s="13" t="n"/>
      <c r="N65" s="3" t="n"/>
      <c r="O65" s="3" t="n"/>
      <c r="P65" s="45">
        <f>(SUM(P66:P66)/1)</f>
        <v/>
      </c>
      <c r="Q65" s="3" t="n"/>
      <c r="R65" s="3" t="n"/>
      <c r="S65" s="13" t="n"/>
      <c r="T65" s="13" t="n"/>
      <c r="U65" s="3" t="n"/>
      <c r="V65" s="3" t="n"/>
      <c r="W65" s="3" t="n"/>
      <c r="X65" s="3" t="n"/>
      <c r="Y65" s="35" t="n"/>
    </row>
    <row r="66" hidden="1" ht="15" customHeight="1">
      <c r="A66" s="9" t="n"/>
      <c r="B66" s="74" t="n"/>
      <c r="C66" s="8" t="n"/>
      <c r="D66" s="33" t="inlineStr">
        <is>
          <t>LLDD</t>
        </is>
      </c>
      <c r="E66" s="3" t="n"/>
      <c r="F66" s="3" t="n"/>
      <c r="G66" s="3" t="n"/>
      <c r="H66" s="3" t="n"/>
      <c r="I66" s="48" t="n">
        <v>0</v>
      </c>
      <c r="J66" s="3" t="n"/>
      <c r="K66" s="3" t="n"/>
      <c r="L66" s="59" t="n"/>
      <c r="M66" s="13" t="n"/>
      <c r="N66" s="3" t="n"/>
      <c r="O66" s="3" t="n"/>
      <c r="P66" s="48" t="n">
        <v>0</v>
      </c>
      <c r="Q66" s="3" t="n"/>
      <c r="R66" s="3" t="n"/>
      <c r="S66" s="59" t="n"/>
      <c r="T66" s="13" t="n"/>
      <c r="U66" s="3" t="n"/>
      <c r="V66" s="60" t="n"/>
      <c r="W66" s="59" t="n"/>
      <c r="X66" s="3" t="n"/>
      <c r="Y66" s="35" t="n"/>
    </row>
    <row r="67" ht="15" customHeight="1">
      <c r="A67" s="3" t="n"/>
      <c r="B67" s="93" t="inlineStr">
        <is>
          <t>Phase #1</t>
        </is>
      </c>
      <c r="C67" s="131" t="inlineStr">
        <is>
          <t>4.1 SBP Operating Management (Store Performance/Statement)</t>
        </is>
      </c>
      <c r="D67" s="151" t="n"/>
      <c r="E67" s="3" t="n"/>
      <c r="F67" s="3" t="n"/>
      <c r="G67" s="3" t="n"/>
      <c r="H67" s="3" t="n"/>
      <c r="I67" s="45">
        <f>(SUM(I68:I73)/5)</f>
        <v/>
      </c>
      <c r="J67" s="3" t="n"/>
      <c r="K67" s="3" t="n"/>
      <c r="L67" s="13" t="n"/>
      <c r="M67" s="13" t="n"/>
      <c r="N67" s="3" t="n"/>
      <c r="O67" s="3" t="n"/>
      <c r="P67" s="45">
        <f>(SUM(P68:P73)/6)</f>
        <v/>
      </c>
      <c r="Q67" s="3" t="n"/>
      <c r="R67" s="3" t="n"/>
      <c r="S67" s="13" t="n"/>
      <c r="T67" s="13" t="n"/>
      <c r="U67" s="3" t="n"/>
      <c r="V67" s="3" t="n"/>
      <c r="W67" s="3" t="n"/>
      <c r="X67" s="3" t="n"/>
      <c r="Y67" s="35" t="n"/>
    </row>
    <row r="68" ht="15" customHeight="1">
      <c r="A68" s="3" t="n">
        <v>24</v>
      </c>
      <c r="B68" s="74" t="n"/>
      <c r="C68" s="131" t="n"/>
      <c r="D68" s="31" t="inlineStr">
        <is>
          <t>Integration (SAP)</t>
        </is>
      </c>
      <c r="E68" s="27" t="inlineStr">
        <is>
          <t>Link</t>
        </is>
      </c>
      <c r="F68" s="27" t="inlineStr">
        <is>
          <t>Link</t>
        </is>
      </c>
      <c r="G68" s="3" t="inlineStr">
        <is>
          <t>SAP</t>
        </is>
      </c>
      <c r="H68" s="22" t="inlineStr">
        <is>
          <t>Done</t>
        </is>
      </c>
      <c r="I68" s="47" t="n">
        <v>1</v>
      </c>
      <c r="J68" s="3">
        <f>IF(H68="Done","Done",
   IF(L68=TODAY(),"Due",
      IF(L68&lt;TODAY(),"Overdue",
         IF(AND(L68&gt;TODAY(),L68&lt;=TODAY()+5),"Upcoming","OnTrack"))))</f>
        <v/>
      </c>
      <c r="K68" s="19" t="inlineStr">
        <is>
          <t>Rungsima &lt;Namneung&gt; J.</t>
        </is>
      </c>
      <c r="L68" s="13" t="n">
        <v>45902</v>
      </c>
      <c r="M68" s="13" t="n">
        <v>45902</v>
      </c>
      <c r="N68" s="13" t="n">
        <v>45902</v>
      </c>
      <c r="O68" s="22" t="inlineStr">
        <is>
          <t>Done</t>
        </is>
      </c>
      <c r="P68" s="47" t="n">
        <v>1</v>
      </c>
      <c r="Q68" s="3">
        <f>IF(O68="Not Start","Not Start",
   IF(AND(O68="Done",U68&gt;T68),"Done with Overdue",
      IF(O68="Done","Done",
         IF(T68=TODAY(),"Due",
            IF(T68&lt;TODAY(),"Overdue",
               IF(AND(T68&gt;TODAY(),T68&lt;=TODAY()+5),"Upcoming","On Track"))))))</f>
        <v/>
      </c>
      <c r="R68" s="3" t="inlineStr">
        <is>
          <t>Suphachai &lt;To&gt; S.</t>
        </is>
      </c>
      <c r="S68" s="13" t="n">
        <v>45909</v>
      </c>
      <c r="T68" s="13" t="n">
        <v>45909</v>
      </c>
      <c r="U68" s="13" t="n">
        <v>45925</v>
      </c>
      <c r="V68" s="13" t="n">
        <v>45882</v>
      </c>
      <c r="W68" s="13" t="n">
        <v>45930</v>
      </c>
      <c r="X68" s="28" t="n"/>
      <c r="Y68" s="35" t="n"/>
    </row>
    <row r="69" ht="15" customHeight="1">
      <c r="A69" s="3" t="n">
        <v>25</v>
      </c>
      <c r="B69" s="74" t="n"/>
      <c r="C69" s="131" t="n"/>
      <c r="D69" s="31" t="inlineStr">
        <is>
          <t>Integration (STA)</t>
        </is>
      </c>
      <c r="E69" s="27" t="inlineStr">
        <is>
          <t>Link</t>
        </is>
      </c>
      <c r="F69" s="27" t="inlineStr">
        <is>
          <t>Link</t>
        </is>
      </c>
      <c r="G69" s="3" t="inlineStr">
        <is>
          <t>STA</t>
        </is>
      </c>
      <c r="H69" s="22" t="inlineStr">
        <is>
          <t>Done</t>
        </is>
      </c>
      <c r="I69" s="47" t="n">
        <v>1</v>
      </c>
      <c r="J69" s="3">
        <f>IF(H69="Done","Done",
   IF(L69=TODAY(),"Due",
      IF(L69&lt;TODAY(),"Overdue",
         IF(AND(L69&gt;TODAY(),L69&lt;=TODAY()+5),"Upcoming","OnTrack"))))</f>
        <v/>
      </c>
      <c r="K69" s="14" t="inlineStr">
        <is>
          <t>Sirikwan &lt;Tae&gt; S.</t>
        </is>
      </c>
      <c r="L69" s="13" t="n">
        <v>45884</v>
      </c>
      <c r="M69" s="13" t="n">
        <v>45884</v>
      </c>
      <c r="N69" s="13" t="n">
        <v>45884</v>
      </c>
      <c r="O69" s="22" t="inlineStr">
        <is>
          <t>Done</t>
        </is>
      </c>
      <c r="P69" s="47" t="n">
        <v>1</v>
      </c>
      <c r="Q69" s="3">
        <f>IF(O69="Not Start","Not Start",
   IF(AND(O69="Done",U69&gt;T69),"Done with Overdue",
      IF(O69="Done","Done",
         IF(T69=TODAY(),"Due",
            IF(T69&lt;TODAY(),"Overdue",
               IF(AND(T69&gt;TODAY(),T69&lt;=TODAY()+5),"Upcoming","On Track"))))))</f>
        <v/>
      </c>
      <c r="R69" s="3" t="inlineStr">
        <is>
          <t>Suphachai &lt;To&gt; S.</t>
        </is>
      </c>
      <c r="S69" s="13" t="n">
        <v>45897</v>
      </c>
      <c r="T69" s="13" t="n">
        <v>45897</v>
      </c>
      <c r="U69" s="13" t="n">
        <v>45923</v>
      </c>
      <c r="V69" s="13" t="n">
        <v>45870</v>
      </c>
      <c r="W69" s="13" t="n">
        <v>45930</v>
      </c>
      <c r="X69" s="28" t="n"/>
      <c r="Y69" s="35" t="n"/>
    </row>
    <row r="70" ht="50.25" customHeight="1">
      <c r="A70" s="3" t="n">
        <v>26</v>
      </c>
      <c r="B70" s="62" t="n"/>
      <c r="C70" s="7" t="n"/>
      <c r="D70" s="53" t="inlineStr">
        <is>
          <t>นำเข้าข้อมูล</t>
        </is>
      </c>
      <c r="E70" s="27" t="inlineStr">
        <is>
          <t>Link</t>
        </is>
      </c>
      <c r="F70" s="27" t="inlineStr">
        <is>
          <t>Link</t>
        </is>
      </c>
      <c r="G70" s="14" t="inlineStr">
        <is>
          <t>WHP</t>
        </is>
      </c>
      <c r="H70" s="22" t="inlineStr">
        <is>
          <t>Done</t>
        </is>
      </c>
      <c r="I70" s="47" t="n">
        <v>1</v>
      </c>
      <c r="J70" s="3">
        <f>IF(H70="Done","Done",
   IF(L70=TODAY(),"Due",
      IF(L70&lt;TODAY(),"Overdue",
         IF(AND(L70&gt;TODAY(),L70&lt;=TODAY()+5),"Upcoming","OnTrack"))))</f>
        <v/>
      </c>
      <c r="K70" s="30" t="inlineStr">
        <is>
          <t>Thitipa &lt;May&gt; P.</t>
        </is>
      </c>
      <c r="L70" s="13" t="n">
        <v>45926</v>
      </c>
      <c r="M70" s="42" t="n">
        <v>45929</v>
      </c>
      <c r="N70" s="42" t="n">
        <v>45929</v>
      </c>
      <c r="O70" s="22" t="inlineStr">
        <is>
          <t>Done</t>
        </is>
      </c>
      <c r="P70" s="47" t="n">
        <v>1</v>
      </c>
      <c r="Q70" s="3">
        <f>IF(O70="Not Start","Not Start",
   IF(AND(O70="Done",U70&gt;T70),"Done with Overdue",
      IF(O70="Done","Done",
         IF(T70=TODAY(),"Due",
            IF(T70&lt;TODAY(),"Overdue",
               IF(AND(T70&gt;TODAY(),T70&lt;=TODAY()+5),"Upcoming","On Track"))))))</f>
        <v/>
      </c>
      <c r="R70" s="3" t="inlineStr">
        <is>
          <t>Suphachai &lt;To&gt; S.</t>
        </is>
      </c>
      <c r="S70" s="13" t="n">
        <v>45933</v>
      </c>
      <c r="T70" s="13" t="n">
        <v>45937</v>
      </c>
      <c r="U70" s="13" t="n">
        <v>45932</v>
      </c>
      <c r="V70" s="13" t="n">
        <v>45901</v>
      </c>
      <c r="W70" s="13" t="n">
        <v>45950</v>
      </c>
      <c r="X70" s="51" t="inlineStr">
        <is>
          <t>30/09/2025 : Review detail design :ขอข้อมูลเพิ่ม
ขอข้อมูล Table design ที่จะนำข้อมูล insert ใน function นี้ หรือใส่รวมเป็นภาพใหญ่ก็ได้
ขอข้อมูล CMService ว่า Retry, Timeout ,handling อย่างไร
02/10/2025 : Approved</t>
        </is>
      </c>
      <c r="Y70" s="35" t="n"/>
    </row>
    <row r="71" ht="15" customHeight="1">
      <c r="A71" s="3" t="n">
        <v>27.1</v>
      </c>
      <c r="B71" s="62" t="n"/>
      <c r="C71" s="7" t="n"/>
      <c r="D71" s="32" t="inlineStr">
        <is>
          <t>SBP Statement #1</t>
        </is>
      </c>
      <c r="E71" s="27" t="inlineStr">
        <is>
          <t>Link</t>
        </is>
      </c>
      <c r="F71" s="27" t="inlineStr">
        <is>
          <t>Link</t>
        </is>
      </c>
      <c r="G71" s="14" t="inlineStr">
        <is>
          <t>WHP</t>
        </is>
      </c>
      <c r="H71" s="22" t="inlineStr">
        <is>
          <t>Done</t>
        </is>
      </c>
      <c r="I71" s="47" t="n">
        <v>1</v>
      </c>
      <c r="J71" s="3">
        <f>IF(H71="Done","Done",
   IF(L71=TODAY(),"Due",
      IF(L71&lt;TODAY(),"Overdue",
         IF(AND(L71&gt;TODAY(),L71&lt;=TODAY()+5),"Upcoming","OnTrack"))))</f>
        <v/>
      </c>
      <c r="K71" s="14" t="inlineStr">
        <is>
          <t>Thitipa &lt;May&gt; P.</t>
        </is>
      </c>
      <c r="L71" s="60" t="n">
        <v>45951</v>
      </c>
      <c r="M71" s="13" t="n">
        <v>45951</v>
      </c>
      <c r="N71" s="13" t="n">
        <v>45952</v>
      </c>
      <c r="O71" s="22" t="inlineStr">
        <is>
          <t>Done</t>
        </is>
      </c>
      <c r="P71" s="47" t="n">
        <v>1</v>
      </c>
      <c r="Q71" s="3">
        <f>IF(O71="Not Start","Not Start",
   IF(AND(O71="Done",U71&gt;T71),"Done with Overdue",
      IF(O71="Done","Done",
         IF(T71=TODAY(),"Due",
            IF(T71&lt;TODAY(),"Overdue",
               IF(AND(T71&gt;TODAY(),T71&lt;=TODAY()+5),"Upcoming","On Track"))))))</f>
        <v/>
      </c>
      <c r="R71" s="3" t="inlineStr">
        <is>
          <t>Suphachai &lt;To&gt; S.</t>
        </is>
      </c>
      <c r="S71" s="13" t="n">
        <v>45960</v>
      </c>
      <c r="T71" s="13" t="n">
        <v>45960</v>
      </c>
      <c r="U71" s="13" t="n">
        <v>45967</v>
      </c>
      <c r="V71" s="13" t="n">
        <v>45901</v>
      </c>
      <c r="W71" s="13" t="n">
        <v>45992</v>
      </c>
      <c r="X71" s="28" t="inlineStr">
        <is>
          <t>06/11/2025 : Approved</t>
        </is>
      </c>
      <c r="Y71" s="35" t="n"/>
    </row>
    <row r="72" ht="62.25" customFormat="1" customHeight="1" s="68">
      <c r="A72" s="3" t="n">
        <v>27.2</v>
      </c>
      <c r="B72" s="62" t="n"/>
      <c r="C72" s="64" t="n"/>
      <c r="D72" s="65" t="inlineStr">
        <is>
          <t>SBP Statement #2</t>
        </is>
      </c>
      <c r="E72" s="27" t="inlineStr">
        <is>
          <t>Link</t>
        </is>
      </c>
      <c r="F72" s="27" t="inlineStr">
        <is>
          <t>Link</t>
        </is>
      </c>
      <c r="G72" s="30" t="inlineStr">
        <is>
          <t>WHP</t>
        </is>
      </c>
      <c r="H72" s="22" t="inlineStr">
        <is>
          <t>Done</t>
        </is>
      </c>
      <c r="I72" s="47" t="n">
        <v>1</v>
      </c>
      <c r="J72" s="3">
        <f>IF(H72="Done","Done",
   IF(L72=TODAY(),"Due",
      IF(L72&lt;TODAY(),"Overdue",
         IF(AND(L72&gt;TODAY(),L72&lt;=TODAY()+5),"Upcoming","OnTrack"))))</f>
        <v/>
      </c>
      <c r="K72" s="66" t="inlineStr">
        <is>
          <t>Thitipa &lt;May&gt; P.</t>
        </is>
      </c>
      <c r="L72" s="63" t="n">
        <v>45960</v>
      </c>
      <c r="M72" s="13" t="n">
        <v>45959</v>
      </c>
      <c r="N72" s="13" t="n">
        <v>45960</v>
      </c>
      <c r="O72" s="22" t="inlineStr">
        <is>
          <t>Done</t>
        </is>
      </c>
      <c r="P72" s="47" t="n">
        <v>1</v>
      </c>
      <c r="Q72" s="3">
        <f>IF(O72="Not Start","Not Start",
   IF(AND(O72="Done",U72&gt;T72),"Done with Overdue",
      IF(O72="Done","Done",
         IF(T72=TODAY(),"Due",
            IF(T72&lt;TODAY(),"Overdue",
               IF(AND(T72&gt;TODAY(),T72&lt;=TODAY()+5),"Upcoming","On Track"))))))</f>
        <v/>
      </c>
      <c r="R72" s="3" t="inlineStr">
        <is>
          <t>Suphachai &lt;To&gt; S.</t>
        </is>
      </c>
      <c r="S72" s="13" t="n">
        <v>45966</v>
      </c>
      <c r="T72" s="13" t="n">
        <v>45967</v>
      </c>
      <c r="U72" s="13" t="n">
        <v>45967</v>
      </c>
      <c r="V72" s="13" t="n">
        <v>45901</v>
      </c>
      <c r="W72" s="13" t="n">
        <v>45992</v>
      </c>
      <c r="X72" s="50" t="inlineStr">
        <is>
          <t>06/11/2025 : Approved
ความเห็นเพิ่มเติม
อยากให้เพิ่มรายละเอียด mail server ที่ต้องใช้ในการส่ง email เนื่องจาก ปัจจุบันต้องไปใช้ Microsoft graph api แทน SMTP mail relay 
หรือ อาจ implement เป็น component กลางแยกออกไปใช้ร่วมกันกับ use case อื่นๆ ครับ</t>
        </is>
      </c>
      <c r="Y72" s="67" t="n"/>
    </row>
    <row r="73" ht="24.75" customHeight="1">
      <c r="A73" s="3" t="n">
        <v>28</v>
      </c>
      <c r="B73" s="62" t="n"/>
      <c r="C73" s="7" t="n"/>
      <c r="D73" s="32" t="inlineStr">
        <is>
          <t>SBP Performance</t>
        </is>
      </c>
      <c r="E73" s="27" t="inlineStr">
        <is>
          <t>Link</t>
        </is>
      </c>
      <c r="F73" s="3" t="n"/>
      <c r="G73" s="14" t="inlineStr">
        <is>
          <t>WHP</t>
        </is>
      </c>
      <c r="H73" s="22" t="inlineStr">
        <is>
          <t>Done</t>
        </is>
      </c>
      <c r="I73" s="47" t="n">
        <v>1</v>
      </c>
      <c r="J73" s="3">
        <f>IF(H73="Done","Done",
   IF(L73=TODAY(),"Due",
      IF(L73&lt;TODAY(),"Overdue",
         IF(AND(L73&gt;TODAY(),L73&lt;=TODAY()+5),"Upcoming","OnTrack"))))</f>
        <v/>
      </c>
      <c r="K73" s="61" t="inlineStr">
        <is>
          <t>Thitipa &lt;May&gt; P.</t>
        </is>
      </c>
      <c r="L73" s="13" t="n">
        <v>45966</v>
      </c>
      <c r="M73" s="13" t="n">
        <v>45975</v>
      </c>
      <c r="N73" s="13" t="n">
        <v>45979</v>
      </c>
      <c r="O73" s="22" t="inlineStr">
        <is>
          <t>Done</t>
        </is>
      </c>
      <c r="P73" s="47" t="n">
        <v>1</v>
      </c>
      <c r="Q73" s="3">
        <f>IF(O73="Not Start","Not Start",
   IF(AND(O73="Done",U73&gt;T73),"Done with Overdue",
      IF(O73="Done","Done",
         IF(T73=TODAY(),"Due",
            IF(T73&lt;TODAY(),"Overdue",
               IF(AND(T73&gt;TODAY(),T73&lt;=TODAY()+5),"Upcoming","On Track"))))))</f>
        <v/>
      </c>
      <c r="R73" s="3" t="inlineStr">
        <is>
          <t>Suphachai &lt;To&gt; S.</t>
        </is>
      </c>
      <c r="S73" s="13" t="n">
        <v>45954</v>
      </c>
      <c r="T73" s="13" t="n">
        <v>45986</v>
      </c>
      <c r="U73" s="13" t="n">
        <v>45986</v>
      </c>
      <c r="V73" s="13" t="n">
        <v>45901</v>
      </c>
      <c r="W73" s="13" t="n">
        <v>45992</v>
      </c>
      <c r="X73" s="50" t="inlineStr">
        <is>
          <t>25/11/2025 : 
Solar มีคุยกับทาง Srevice  ในเบื้องต้นแล้ว อยู่ระหว่างส่งเอกสารให้ทาง Service</t>
        </is>
      </c>
      <c r="Y73" s="35" t="n"/>
    </row>
    <row r="74" ht="15" customHeight="1">
      <c r="A74" s="9" t="n"/>
      <c r="B74" s="93" t="inlineStr">
        <is>
          <t>Phase #2</t>
        </is>
      </c>
      <c r="C74" s="133" t="inlineStr">
        <is>
          <t>4.2 SBP Employee Management (Incentive ค่าสนับสนุนร้าน)</t>
        </is>
      </c>
      <c r="D74" s="152" t="n"/>
      <c r="E74" s="3" t="n"/>
      <c r="F74" s="3" t="n"/>
      <c r="G74" s="3" t="n"/>
      <c r="H74" s="3" t="n"/>
      <c r="I74" s="45">
        <f>(SUM(I75:I75)/1)</f>
        <v/>
      </c>
      <c r="J74" s="3" t="n"/>
      <c r="K74" s="3" t="n"/>
      <c r="L74" s="43" t="n"/>
      <c r="M74" s="13" t="n"/>
      <c r="N74" s="3" t="n"/>
      <c r="O74" s="3" t="n"/>
      <c r="P74" s="45">
        <f>(SUM(P75:P75)/2)</f>
        <v/>
      </c>
      <c r="Q74" s="3" t="n"/>
      <c r="R74" s="3" t="n"/>
      <c r="S74" s="13" t="n"/>
      <c r="T74" s="13" t="n"/>
      <c r="U74" s="3" t="n"/>
      <c r="V74" s="3" t="n"/>
      <c r="W74" s="3" t="n"/>
      <c r="X74" s="3" t="n"/>
      <c r="Y74" s="35" t="n"/>
    </row>
    <row r="75" ht="15" customHeight="1">
      <c r="A75" s="3" t="n">
        <v>30</v>
      </c>
      <c r="B75" s="3" t="n"/>
      <c r="C75" s="4" t="n"/>
      <c r="D75" s="36" t="inlineStr">
        <is>
          <t>LLDD</t>
        </is>
      </c>
      <c r="E75" s="27" t="inlineStr">
        <is>
          <t>Link</t>
        </is>
      </c>
      <c r="F75" s="3" t="n"/>
      <c r="G75" s="14" t="inlineStr">
        <is>
          <t>SLS</t>
        </is>
      </c>
      <c r="H75" s="22" t="inlineStr">
        <is>
          <t>Done</t>
        </is>
      </c>
      <c r="I75" s="47" t="n">
        <v>1</v>
      </c>
      <c r="J75" s="3">
        <f>IF(H75="Done","Done",
   IF(L75=TODAY(),"Due",
      IF(L75&lt;TODAY(),"Overdue",
         IF(AND(L75&gt;TODAY(),L75&lt;=TODAY()+5),"Upcoming","OnTrack"))))</f>
        <v/>
      </c>
      <c r="K75" s="3" t="inlineStr">
        <is>
          <t>Piyatida Watcharakan</t>
        </is>
      </c>
      <c r="L75" s="13" t="n">
        <v>46063</v>
      </c>
      <c r="M75" s="13" t="n">
        <v>46055</v>
      </c>
      <c r="N75" s="13" t="n">
        <v>46055</v>
      </c>
      <c r="O75" s="22" t="inlineStr">
        <is>
          <t>Done</t>
        </is>
      </c>
      <c r="P75" s="48" t="n">
        <v>0</v>
      </c>
      <c r="Q75" s="3">
        <f>IF(O75="Not Start","Not Start",
   IF(AND(O75="Done",U75&gt;T75),"Done with Overdue",
      IF(O75="Done","Done",
         IF(T75=TODAY(),"Due",
            IF(T75&lt;TODAY(),"Overdue",
               IF(AND(T75&gt;TODAY(),T75&lt;=TODAY()+5),"Upcoming","On Track"))))))</f>
        <v/>
      </c>
      <c r="R75" s="3" t="inlineStr">
        <is>
          <t>Suphachai &lt;To&gt; S.</t>
        </is>
      </c>
      <c r="S75" s="13" t="n">
        <v>46070</v>
      </c>
      <c r="T75" s="13" t="n">
        <v>46059</v>
      </c>
      <c r="U75" s="13" t="n">
        <v>46080</v>
      </c>
      <c r="V75" s="13" t="n">
        <v>46069</v>
      </c>
      <c r="W75" s="13" t="n">
        <v>46080</v>
      </c>
      <c r="X75" s="3" t="n"/>
      <c r="Y75" s="35" t="n"/>
    </row>
    <row r="76" ht="15" customHeight="1">
      <c r="A76" s="16" t="n"/>
      <c r="B76" s="93" t="inlineStr">
        <is>
          <t>Phase #4</t>
        </is>
      </c>
      <c r="C76" s="134" t="inlineStr">
        <is>
          <t>4.3 SBP Operating Management ประกันรายได้</t>
        </is>
      </c>
      <c r="E76" s="3" t="n"/>
      <c r="F76" s="3" t="n"/>
      <c r="G76" s="3" t="n"/>
      <c r="H76" s="3" t="n"/>
      <c r="I76" s="45">
        <f>(SUM(I77:I111)/35)</f>
        <v/>
      </c>
      <c r="J76" s="3" t="n"/>
      <c r="K76" s="3" t="n"/>
      <c r="L76" s="13" t="n"/>
      <c r="M76" s="13" t="n"/>
      <c r="N76" s="3" t="n"/>
      <c r="O76" s="3" t="n"/>
      <c r="P76" s="45">
        <f>(SUM(P77:P111)/35)</f>
        <v/>
      </c>
      <c r="Q76" s="3" t="n"/>
      <c r="R76" s="3" t="n"/>
      <c r="S76" s="13" t="n"/>
      <c r="T76" s="13" t="n"/>
      <c r="U76" s="3" t="n"/>
      <c r="V76" s="3" t="n"/>
      <c r="W76" s="3" t="n"/>
      <c r="X76" s="3" t="n"/>
      <c r="Y76" s="35" t="n"/>
    </row>
    <row r="77" ht="15" customHeight="1">
      <c r="A77" s="11" t="n">
        <v>31</v>
      </c>
      <c r="B77" s="87" t="n"/>
      <c r="C77" s="133" t="n"/>
      <c r="D77" s="31" t="inlineStr">
        <is>
          <t>Integration (SRM)</t>
        </is>
      </c>
      <c r="E77" s="3" t="n"/>
      <c r="F77" s="3" t="n"/>
      <c r="G77" s="14" t="inlineStr">
        <is>
          <t>SRM</t>
        </is>
      </c>
      <c r="H77" s="3" t="inlineStr">
        <is>
          <t>Not Start</t>
        </is>
      </c>
      <c r="I77" s="48" t="n">
        <v>0</v>
      </c>
      <c r="J77" s="3">
        <f>IF(H77="Done","Done",
   IF(L77=TODAY(),"Due",
      IF(L77&lt;TODAY(),"Overdue",
         IF(AND(L77&gt;TODAY(),L77&lt;=TODAY()+5),"Upcoming","OnTrack"))))</f>
        <v/>
      </c>
      <c r="K77" s="14" t="inlineStr">
        <is>
          <t>TBC</t>
        </is>
      </c>
      <c r="L77" s="13" t="n">
        <v>46142</v>
      </c>
      <c r="M77" s="13" t="n"/>
      <c r="N77" s="3" t="n"/>
      <c r="O77" s="3" t="inlineStr">
        <is>
          <t>Not Start</t>
        </is>
      </c>
      <c r="P77" s="48" t="n">
        <v>0</v>
      </c>
      <c r="Q77" s="3">
        <f>IF(O77="Not Start","Not Start",
   IF(AND(O77="Done",U77&gt;T77),"Done with Overdue",
      IF(O77="Done","Done",
         IF(T77=TODAY(),"Due",
            IF(T77&lt;TODAY(),"Overdue",
               IF(AND(T77&gt;TODAY(),T77&lt;=TODAY()+5),"Upcoming","On Track"))))))</f>
        <v/>
      </c>
      <c r="R77" s="3" t="inlineStr">
        <is>
          <t>Suphachai &lt;To&gt; S.</t>
        </is>
      </c>
      <c r="S77" s="13" t="n">
        <v>46150</v>
      </c>
      <c r="T77" s="13" t="n"/>
      <c r="U77" s="3" t="n"/>
      <c r="V77" s="3" t="n"/>
      <c r="W77" s="3" t="n"/>
      <c r="X77" s="3" t="n"/>
      <c r="Y77" s="35" t="n"/>
    </row>
    <row r="78" ht="15" customHeight="1">
      <c r="A78" s="11" t="n">
        <v>32</v>
      </c>
      <c r="B78" s="11" t="n"/>
      <c r="C78" s="5" t="n"/>
      <c r="D78" s="33" t="inlineStr">
        <is>
          <t>LLDD</t>
        </is>
      </c>
      <c r="E78" s="3" t="n"/>
      <c r="F78" s="3" t="n"/>
      <c r="G78" s="14" t="inlineStr">
        <is>
          <t>SRM</t>
        </is>
      </c>
      <c r="H78" s="3" t="inlineStr">
        <is>
          <t>Not Start</t>
        </is>
      </c>
      <c r="I78" s="48" t="n">
        <v>0</v>
      </c>
      <c r="J78" s="3">
        <f>IF(H78="Done","Done",
   IF(L78=TODAY(),"Due",
      IF(L78&lt;TODAY(),"Overdue",
         IF(AND(L78&gt;TODAY(),L78&lt;=TODAY()+5),"Upcoming","OnTrack"))))</f>
        <v/>
      </c>
      <c r="K78" s="14" t="inlineStr">
        <is>
          <t>TBC</t>
        </is>
      </c>
      <c r="L78" s="13" t="n">
        <v>46142</v>
      </c>
      <c r="M78" s="13" t="n"/>
      <c r="N78" s="3" t="n"/>
      <c r="O78" s="3" t="inlineStr">
        <is>
          <t>Not Start</t>
        </is>
      </c>
      <c r="P78" s="48" t="n">
        <v>0</v>
      </c>
      <c r="Q78" s="3">
        <f>IF(O78="Not Start","Not Start",
   IF(AND(O78="Done",U78&gt;T78),"Done with Overdue",
      IF(O78="Done","Done",
         IF(T78=TODAY(),"Due",
            IF(T78&lt;TODAY(),"Overdue",
               IF(AND(T78&gt;TODAY(),T78&lt;=TODAY()+5),"Upcoming","On Track"))))))</f>
        <v/>
      </c>
      <c r="R78" s="3" t="inlineStr">
        <is>
          <t>Suphachai &lt;To&gt; S.</t>
        </is>
      </c>
      <c r="S78" s="13" t="n">
        <v>46150</v>
      </c>
      <c r="T78" s="13" t="n"/>
      <c r="U78" s="3" t="n"/>
      <c r="V78" s="13" t="n">
        <v>46083</v>
      </c>
      <c r="W78" s="13" t="n">
        <v>46122</v>
      </c>
      <c r="X78" s="3" t="n"/>
      <c r="Y78" s="35" t="n"/>
    </row>
    <row r="79" ht="15" customHeight="1">
      <c r="A79" s="11" t="n"/>
      <c r="B79" s="11" t="n"/>
      <c r="C79" s="5" t="n"/>
      <c r="D79" s="33" t="inlineStr">
        <is>
          <t>FE - Integration Contracts</t>
        </is>
      </c>
      <c r="E79" s="3" t="n"/>
      <c r="F79" s="3" t="n"/>
      <c r="G79" s="14" t="n"/>
      <c r="H79" s="3" t="inlineStr">
        <is>
          <t>Not Start</t>
        </is>
      </c>
      <c r="I79" s="48" t="n">
        <v>0</v>
      </c>
      <c r="J79" s="3" t="inlineStr">
        <is>
          <t>Not Start</t>
        </is>
      </c>
      <c r="K79" s="14" t="inlineStr">
        <is>
          <t>Kittisak &lt;New&gt; Kaeowika</t>
        </is>
      </c>
      <c r="L79" s="13" t="n">
        <v>46232</v>
      </c>
      <c r="M79" s="13" t="n"/>
      <c r="N79" s="3" t="n"/>
      <c r="O79" s="3" t="n"/>
      <c r="P79" s="48" t="n"/>
      <c r="Q79" s="3" t="n"/>
      <c r="R79" s="3" t="n"/>
      <c r="S79" s="13" t="n"/>
      <c r="T79" s="13" t="n"/>
      <c r="U79" s="3" t="n"/>
      <c r="V79" s="13" t="n">
        <v>46230</v>
      </c>
      <c r="W79" s="13" t="n">
        <v>46232</v>
      </c>
      <c r="X79" s="3" t="n"/>
      <c r="Y79" s="35" t="n"/>
    </row>
    <row r="80" ht="15" customHeight="1">
      <c r="A80" s="11" t="n"/>
      <c r="B80" s="11" t="n"/>
      <c r="C80" s="5" t="n"/>
      <c r="D80" s="33" t="inlineStr">
        <is>
          <t>FE - Application Foundation and Shared UI</t>
        </is>
      </c>
      <c r="E80" s="3" t="n"/>
      <c r="F80" s="3" t="n"/>
      <c r="G80" s="14" t="n"/>
      <c r="H80" s="3" t="inlineStr">
        <is>
          <t>Not Start</t>
        </is>
      </c>
      <c r="I80" s="48" t="n">
        <v>0</v>
      </c>
      <c r="J80" s="3" t="inlineStr">
        <is>
          <t>Not Start</t>
        </is>
      </c>
      <c r="K80" s="14" t="inlineStr">
        <is>
          <t>Kittisak &lt;New&gt; Kaeowika</t>
        </is>
      </c>
      <c r="L80" s="13" t="n">
        <v>46244</v>
      </c>
      <c r="M80" s="13" t="n"/>
      <c r="N80" s="3" t="n"/>
      <c r="O80" s="3" t="n"/>
      <c r="P80" s="48" t="n"/>
      <c r="Q80" s="3" t="n"/>
      <c r="R80" s="3" t="n"/>
      <c r="S80" s="13" t="n"/>
      <c r="T80" s="13" t="n"/>
      <c r="U80" s="3" t="n"/>
      <c r="V80" s="13" t="n">
        <v>46233</v>
      </c>
      <c r="W80" s="13" t="n">
        <v>46244</v>
      </c>
      <c r="X80" s="3" t="n"/>
      <c r="Y80" s="35" t="n"/>
    </row>
    <row r="81" ht="15" customHeight="1">
      <c r="A81" s="11" t="n"/>
      <c r="B81" s="11" t="n"/>
      <c r="C81" s="5" t="n"/>
      <c r="D81" s="33" t="inlineStr">
        <is>
          <t>FE - Overview Dashboard</t>
        </is>
      </c>
      <c r="E81" s="3" t="inlineStr">
        <is>
          <t>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สรุปข้อมูลพิจารณารางวัลประจำปี-1.0.docx?d=w260c862af33041b6961768a725298fd2&amp;csf=1&amp;web=1&amp;e=LOsbNn</t>
        </is>
      </c>
      <c r="F81" s="3" t="n"/>
      <c r="G81" s="14" t="n"/>
      <c r="H81" s="3" t="inlineStr">
        <is>
          <t>Not Start</t>
        </is>
      </c>
      <c r="I81" s="48" t="n">
        <v>0</v>
      </c>
      <c r="J81" s="3" t="inlineStr">
        <is>
          <t>Not Start</t>
        </is>
      </c>
      <c r="K81" s="14" t="inlineStr">
        <is>
          <t>Kittisak &lt;New&gt; Kaeowika</t>
        </is>
      </c>
      <c r="L81" s="13" t="n">
        <v>46253</v>
      </c>
      <c r="M81" s="13" t="n"/>
      <c r="N81" s="3" t="n"/>
      <c r="O81" s="3" t="n"/>
      <c r="P81" s="48" t="n"/>
      <c r="Q81" s="3" t="n"/>
      <c r="R81" s="3" t="n"/>
      <c r="S81" s="13" t="n"/>
      <c r="T81" s="13" t="n"/>
      <c r="U81" s="3" t="n"/>
      <c r="V81" s="13" t="n">
        <v>46245</v>
      </c>
      <c r="W81" s="13" t="n">
        <v>46253</v>
      </c>
      <c r="X81" s="3" t="n"/>
      <c r="Y81" s="35" t="n"/>
    </row>
    <row r="82" ht="15" customHeight="1">
      <c r="A82" s="11" t="n"/>
      <c r="B82" s="11" t="n"/>
      <c r="C82" s="5" t="n"/>
      <c r="D82" s="33" t="inlineStr">
        <is>
          <t>FE - Document Lists</t>
        </is>
      </c>
      <c r="E82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M-LLDD_EMLSB_InboundSTC.docx?d=w775a9ebde3964340bc91c1809517728e&amp;csf=1&amp;web=1&amp;e=TioDYn</t>
        </is>
      </c>
      <c r="F82" s="3" t="n"/>
      <c r="G82" s="14" t="n"/>
      <c r="H82" s="3" t="inlineStr">
        <is>
          <t>Not Start</t>
        </is>
      </c>
      <c r="I82" s="48" t="n">
        <v>0</v>
      </c>
      <c r="J82" s="3" t="inlineStr">
        <is>
          <t>Not Start</t>
        </is>
      </c>
      <c r="K82" s="14" t="inlineStr">
        <is>
          <t>Peerakorn &lt;Pete&gt; Sakunkaewphithak</t>
        </is>
      </c>
      <c r="L82" s="13" t="n">
        <v>46240</v>
      </c>
      <c r="M82" s="13" t="n"/>
      <c r="N82" s="3" t="n"/>
      <c r="O82" s="3" t="n"/>
      <c r="P82" s="48" t="n"/>
      <c r="Q82" s="3" t="n"/>
      <c r="R82" s="3" t="n"/>
      <c r="S82" s="13" t="n"/>
      <c r="T82" s="13" t="n"/>
      <c r="U82" s="3" t="n"/>
      <c r="V82" s="13" t="n">
        <v>46230</v>
      </c>
      <c r="W82" s="13" t="n">
        <v>46240</v>
      </c>
      <c r="X82" s="3" t="n"/>
      <c r="Y82" s="35" t="n"/>
    </row>
    <row r="83" ht="15" customHeight="1">
      <c r="A83" s="11" t="n"/>
      <c r="B83" s="11" t="n"/>
      <c r="C83" s="5" t="n"/>
      <c r="D83" s="33" t="inlineStr">
        <is>
          <t>FE - Create Document</t>
        </is>
      </c>
      <c r="E83" s="3" t="inlineStr">
        <is>
          <t>https://cpallgroup.sharepoint.com/:x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S-LLDD%20EMLSB_API_DTS-1.0.xlsx?d=w65ddbc7f453a448bb603dc60ebc42b87&amp;csf=1&amp;web=1&amp;e=862oZb</t>
        </is>
      </c>
      <c r="F83" s="3" t="n"/>
      <c r="G83" s="14" t="n"/>
      <c r="H83" s="3" t="inlineStr">
        <is>
          <t>Not Start</t>
        </is>
      </c>
      <c r="I83" s="48" t="n">
        <v>0</v>
      </c>
      <c r="J83" s="3" t="inlineStr">
        <is>
          <t>Not Start</t>
        </is>
      </c>
      <c r="K83" s="14" t="inlineStr">
        <is>
          <t>Kittisak &lt;New&gt; Kaeowika</t>
        </is>
      </c>
      <c r="L83" s="13" t="n">
        <v>46260</v>
      </c>
      <c r="M83" s="13" t="n"/>
      <c r="N83" s="3" t="n"/>
      <c r="O83" s="3" t="n"/>
      <c r="P83" s="48" t="n"/>
      <c r="Q83" s="3" t="n"/>
      <c r="R83" s="3" t="n"/>
      <c r="S83" s="13" t="n"/>
      <c r="T83" s="13" t="n"/>
      <c r="U83" s="3" t="n"/>
      <c r="V83" s="13" t="n">
        <v>46254</v>
      </c>
      <c r="W83" s="13" t="n">
        <v>46260</v>
      </c>
      <c r="X83" s="3" t="n"/>
      <c r="Y83" s="35" t="n"/>
    </row>
    <row r="84" hidden="1" ht="15" customHeight="1">
      <c r="A84" s="11" t="n"/>
      <c r="B84" s="11" t="n"/>
      <c r="C84" s="5" t="n"/>
      <c r="D84" s="33" t="inlineStr">
        <is>
          <t>FE - Document Detail and Action</t>
        </is>
      </c>
      <c r="E84" s="3" t="n"/>
      <c r="F84" s="3" t="n"/>
      <c r="G84" s="14" t="n"/>
      <c r="H84" s="3" t="inlineStr">
        <is>
          <t>Not Start</t>
        </is>
      </c>
      <c r="I84" s="48" t="n">
        <v>0</v>
      </c>
      <c r="J84" s="3" t="inlineStr">
        <is>
          <t>Not Start</t>
        </is>
      </c>
      <c r="K84" s="14" t="inlineStr">
        <is>
          <t>Kittisak &lt;New&gt; Kaeowika</t>
        </is>
      </c>
      <c r="L84" s="13" t="n">
        <v>46276</v>
      </c>
      <c r="M84" s="13" t="n"/>
      <c r="N84" s="3" t="n"/>
      <c r="O84" s="3" t="n"/>
      <c r="P84" s="48" t="n"/>
      <c r="Q84" s="3" t="n"/>
      <c r="R84" s="3" t="n"/>
      <c r="S84" s="13" t="n"/>
      <c r="T84" s="13" t="n"/>
      <c r="U84" s="3" t="n"/>
      <c r="V84" s="13" t="n">
        <v>46261</v>
      </c>
      <c r="W84" s="13" t="n">
        <v>46276</v>
      </c>
      <c r="X84" s="3" t="n"/>
      <c r="Y84" s="35" t="n"/>
    </row>
    <row r="85" ht="15" customHeight="1">
      <c r="A85" s="11" t="n"/>
      <c r="B85" s="11" t="n"/>
      <c r="C85" s="5" t="n"/>
      <c r="D85" s="33" t="inlineStr">
        <is>
          <t>FE - Status Summary Report</t>
        </is>
      </c>
      <c r="E85" s="3" t="inlineStr">
        <is>
          <t>https://cpallgroup.sharepoint.com/:f:/r/sites/MST-GO0666ITHW2025ReplaceSBPManagementSystem/Shared%20Documents/General/04-Analysis%20%26%20Design/LLDD/Non-Baseline/_Review%20%26%20Approve/Store%20Partner%20Management?d=w6301328208304872b0bce1f4dca0cb0b&amp;csf=1&amp;web=1&amp;e=UUHfAh</t>
        </is>
      </c>
      <c r="F85" s="3" t="n"/>
      <c r="G85" s="14" t="n"/>
      <c r="H85" s="3" t="inlineStr">
        <is>
          <t>Not Start</t>
        </is>
      </c>
      <c r="I85" s="48" t="n">
        <v>0</v>
      </c>
      <c r="J85" s="3" t="inlineStr">
        <is>
          <t>Not Start</t>
        </is>
      </c>
      <c r="K85" s="14" t="inlineStr">
        <is>
          <t>Peerakorn &lt;Pete&gt; Sakunkaewphithak</t>
        </is>
      </c>
      <c r="L85" s="13" t="n">
        <v>46248</v>
      </c>
      <c r="M85" s="13" t="n"/>
      <c r="N85" s="3" t="n"/>
      <c r="O85" s="3" t="n"/>
      <c r="P85" s="48" t="n"/>
      <c r="Q85" s="3" t="n"/>
      <c r="R85" s="3" t="n"/>
      <c r="S85" s="13" t="n"/>
      <c r="T85" s="13" t="n"/>
      <c r="U85" s="3" t="n"/>
      <c r="V85" s="13" t="n">
        <v>46241</v>
      </c>
      <c r="W85" s="13" t="n">
        <v>46248</v>
      </c>
      <c r="X85" s="3" t="n"/>
      <c r="Y85" s="35" t="n"/>
    </row>
    <row r="86" ht="15" customHeight="1">
      <c r="A86" s="11" t="n"/>
      <c r="B86" s="11" t="n"/>
      <c r="C86" s="5" t="n"/>
      <c r="D86" s="33" t="inlineStr">
        <is>
          <t>FE - Master and Config</t>
        </is>
      </c>
      <c r="E86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M-LLDD_EMLSB_InboundMMS-1.0.docx?d=we13f2b382f6f4f13a3dff5402daee199&amp;csf=1&amp;web=1&amp;e=5kmmux</t>
        </is>
      </c>
      <c r="F86" s="3" t="n"/>
      <c r="G86" s="14" t="n"/>
      <c r="H86" s="3" t="inlineStr">
        <is>
          <t>Not Start</t>
        </is>
      </c>
      <c r="I86" s="48" t="n">
        <v>0</v>
      </c>
      <c r="J86" s="3" t="inlineStr">
        <is>
          <t>Not Start</t>
        </is>
      </c>
      <c r="K86" s="14" t="inlineStr">
        <is>
          <t>Peerakorn &lt;Pete&gt; Sakunkaewphithak</t>
        </is>
      </c>
      <c r="L86" s="13" t="n">
        <v>46260</v>
      </c>
      <c r="M86" s="13" t="n"/>
      <c r="N86" s="3" t="n"/>
      <c r="O86" s="3" t="n"/>
      <c r="P86" s="48" t="n"/>
      <c r="Q86" s="3" t="n"/>
      <c r="R86" s="3" t="n"/>
      <c r="S86" s="13" t="n"/>
      <c r="T86" s="13" t="n"/>
      <c r="U86" s="3" t="n"/>
      <c r="V86" s="13" t="n">
        <v>46251</v>
      </c>
      <c r="W86" s="13" t="n">
        <v>46260</v>
      </c>
      <c r="X86" s="3" t="n"/>
      <c r="Y86" s="35" t="n"/>
    </row>
    <row r="87" ht="15" customHeight="1">
      <c r="A87" s="11" t="n"/>
      <c r="B87" s="11" t="n"/>
      <c r="C87" s="5" t="n"/>
      <c r="D87" s="33" t="inlineStr">
        <is>
          <t>FE - Batch Job Monitor</t>
        </is>
      </c>
      <c r="E87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M-LLDD_EMLSB_OutboundEML.docx?d=wd72691e288a2429c969b45c0d2d40ba7&amp;csf=1&amp;web=1&amp;e=WfLJrt</t>
        </is>
      </c>
      <c r="F87" s="3" t="n"/>
      <c r="G87" s="14" t="n"/>
      <c r="H87" s="3" t="inlineStr">
        <is>
          <t>Not Start</t>
        </is>
      </c>
      <c r="I87" s="48" t="n">
        <v>0</v>
      </c>
      <c r="J87" s="3" t="inlineStr">
        <is>
          <t>Not Start</t>
        </is>
      </c>
      <c r="K87" s="14" t="inlineStr">
        <is>
          <t>Peerakorn &lt;Pete&gt; Sakunkaewphithak</t>
        </is>
      </c>
      <c r="L87" s="13" t="n">
        <v>46266</v>
      </c>
      <c r="M87" s="13" t="n"/>
      <c r="N87" s="3" t="n"/>
      <c r="O87" s="3" t="n"/>
      <c r="P87" s="48" t="n"/>
      <c r="Q87" s="3" t="n"/>
      <c r="R87" s="3" t="n"/>
      <c r="S87" s="13" t="n"/>
      <c r="T87" s="13" t="n"/>
      <c r="U87" s="3" t="n"/>
      <c r="V87" s="13" t="n">
        <v>46261</v>
      </c>
      <c r="W87" s="13" t="n">
        <v>46266</v>
      </c>
      <c r="X87" s="3" t="n"/>
      <c r="Y87" s="35" t="n"/>
    </row>
    <row r="88" ht="15" customHeight="1">
      <c r="A88" s="11" t="n"/>
      <c r="B88" s="11" t="n"/>
      <c r="C88" s="5" t="n"/>
      <c r="D88" s="33" t="inlineStr">
        <is>
          <t>FE - Email Template and Notification Config</t>
        </is>
      </c>
      <c r="E88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EMLSB/TSM-HRM-LLDD_EMLSB_OutboundSTM.docx?d=w810e2bffc1e34787b16fcd09f2cafb5f&amp;csf=1&amp;web=1&amp;e=63Pgye</t>
        </is>
      </c>
      <c r="F88" s="3" t="n"/>
      <c r="G88" s="14" t="n"/>
      <c r="H88" s="3" t="inlineStr">
        <is>
          <t>Not Start</t>
        </is>
      </c>
      <c r="I88" s="48" t="n">
        <v>0</v>
      </c>
      <c r="J88" s="3" t="inlineStr">
        <is>
          <t>Not Start</t>
        </is>
      </c>
      <c r="K88" s="14" t="inlineStr">
        <is>
          <t>Peerakorn &lt;Pete&gt; Sakunkaewphithak</t>
        </is>
      </c>
      <c r="L88" s="13" t="n">
        <v>46272</v>
      </c>
      <c r="M88" s="13" t="n"/>
      <c r="N88" s="3" t="n"/>
      <c r="O88" s="3" t="n"/>
      <c r="P88" s="48" t="n"/>
      <c r="Q88" s="3" t="n"/>
      <c r="R88" s="3" t="n"/>
      <c r="S88" s="13" t="n"/>
      <c r="T88" s="13" t="n"/>
      <c r="U88" s="3" t="n"/>
      <c r="V88" s="13" t="n">
        <v>46267</v>
      </c>
      <c r="W88" s="13" t="n">
        <v>46272</v>
      </c>
      <c r="X88" s="3" t="n"/>
      <c r="Y88" s="35" t="n"/>
    </row>
    <row r="89" ht="15" customHeight="1">
      <c r="A89" s="11" t="n"/>
      <c r="B89" s="11" t="n"/>
      <c r="C89" s="5" t="n"/>
      <c r="D89" s="33" t="inlineStr">
        <is>
          <t>FE - Testing and Delivery</t>
        </is>
      </c>
      <c r="E89" s="3" t="inlineStr">
        <is>
          <t>https://cpallgroup.sharepoint.com/:x:/r/sites/MST-GO0666ITHW2025ReplaceSBPManagementSystem/Shared%20Documents/General/04-Analysis%20%26%20Design/LLDD/Non-Baseline/Phase%203%20%5bContract%20Management,%20Store%20Partner%20Management,%20SBP%20Employee%20Management%20(กำลังคน)%20%5d/Store%20Partner%20Management/TSM-0666-LLDD%20หน้าจอค้นหาข้อมูลผู้สนใจพื้นที่ลงทุน.xlsx?d=w07e34620ef5643ca9f78087d45b074a1&amp;csf=1&amp;web=1&amp;e=x7BVQY</t>
        </is>
      </c>
      <c r="F89" s="3" t="n"/>
      <c r="G89" s="14" t="n"/>
      <c r="H89" s="3" t="inlineStr">
        <is>
          <t>Not Start</t>
        </is>
      </c>
      <c r="I89" s="48" t="n">
        <v>0</v>
      </c>
      <c r="J89" s="3" t="inlineStr">
        <is>
          <t>Not Start</t>
        </is>
      </c>
      <c r="K89" s="14" t="inlineStr">
        <is>
          <t>Peerakorn &lt;Pete&gt; Sakunkaewphithak</t>
        </is>
      </c>
      <c r="L89" s="13" t="n">
        <v>46279</v>
      </c>
      <c r="M89" s="13" t="n"/>
      <c r="N89" s="3" t="n"/>
      <c r="O89" s="3" t="n"/>
      <c r="P89" s="48" t="n"/>
      <c r="Q89" s="3" t="n"/>
      <c r="R89" s="3" t="n"/>
      <c r="S89" s="13" t="n"/>
      <c r="T89" s="13" t="n"/>
      <c r="U89" s="3" t="n"/>
      <c r="V89" s="13" t="n">
        <v>46273</v>
      </c>
      <c r="W89" s="13" t="n">
        <v>46279</v>
      </c>
      <c r="X89" s="3" t="n"/>
      <c r="Y89" s="35" t="n"/>
    </row>
    <row r="90" ht="15" customHeight="1">
      <c r="A90" s="11" t="n"/>
      <c r="B90" s="11" t="n"/>
      <c r="C90" s="5" t="n"/>
      <c r="D90" s="33" t="inlineStr">
        <is>
          <t>BE - API Common Contracts</t>
        </is>
      </c>
      <c r="E90" s="3" t="inlineStr">
        <is>
          <t>https://cpallgroup.sharepoint.com/:x:/r/sites/MST-GO0666ITHW2025ReplaceSBPManagementSystem/Shared%20Documents/General/04-Analysis%20%26%20Design/LLDD/Non-Baseline/Phase%203%20%5bContract%20Management,%20Store%20Partner%20Management,%20SBP%20Employee%20Management%20(กำลังคน)%20%5d/Store%20Partner%20Management/TSM-0666-LLDD%20หน้าจอผู้สนใจลงทุน.xlsx?d=w7ec7dc2b3ce2447f9f7af5512dbf88b0&amp;csf=1&amp;web=1&amp;e=3koyUh</t>
        </is>
      </c>
      <c r="F90" s="3" t="n"/>
      <c r="G90" s="14" t="n"/>
      <c r="H90" s="3" t="inlineStr">
        <is>
          <t>Not Start</t>
        </is>
      </c>
      <c r="I90" s="48" t="n">
        <v>0</v>
      </c>
      <c r="J90" s="3" t="inlineStr">
        <is>
          <t>Not Start</t>
        </is>
      </c>
      <c r="K90" s="14" t="inlineStr">
        <is>
          <t>Aphiwit &lt;Bank&gt; Khammoon</t>
        </is>
      </c>
      <c r="L90" s="13" t="n">
        <v>46232</v>
      </c>
      <c r="M90" s="13" t="n"/>
      <c r="N90" s="3" t="n"/>
      <c r="O90" s="3" t="n"/>
      <c r="P90" s="48" t="n"/>
      <c r="Q90" s="3" t="n"/>
      <c r="R90" s="3" t="n"/>
      <c r="S90" s="13" t="n"/>
      <c r="T90" s="13" t="n"/>
      <c r="U90" s="3" t="n"/>
      <c r="V90" s="13" t="n">
        <v>46230</v>
      </c>
      <c r="W90" s="13" t="n">
        <v>46232</v>
      </c>
      <c r="X90" s="3" t="n"/>
      <c r="Y90" s="35" t="n"/>
    </row>
    <row r="91" ht="15" customHeight="1">
      <c r="A91" s="11" t="n"/>
      <c r="B91" s="11" t="n"/>
      <c r="C91" s="5" t="n"/>
      <c r="D91" s="33" t="inlineStr">
        <is>
          <t>BE - API Dashboard Summary</t>
        </is>
      </c>
      <c r="E91" s="3" t="inlineStr">
        <is>
          <t>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บันทึกข้อตกลง-1.0.docx?d=w7668b3bd269c4735a5deb1b81894ef2b&amp;csf=1&amp;web=1&amp;e=y0oTwg</t>
        </is>
      </c>
      <c r="F91" s="3" t="n"/>
      <c r="G91" s="14" t="n"/>
      <c r="H91" s="3" t="inlineStr">
        <is>
          <t>Not Start</t>
        </is>
      </c>
      <c r="I91" s="48" t="n">
        <v>0</v>
      </c>
      <c r="J91" s="3" t="inlineStr">
        <is>
          <t>Not Start</t>
        </is>
      </c>
      <c r="K91" s="14" t="inlineStr">
        <is>
          <t>Aphiwit &lt;Bank&gt; Khammoon</t>
        </is>
      </c>
      <c r="L91" s="13" t="n">
        <v>46240</v>
      </c>
      <c r="M91" s="13" t="n"/>
      <c r="N91" s="3" t="n"/>
      <c r="O91" s="3" t="n"/>
      <c r="P91" s="48" t="n"/>
      <c r="Q91" s="3" t="n"/>
      <c r="R91" s="3" t="n"/>
      <c r="S91" s="13" t="n"/>
      <c r="T91" s="13" t="n"/>
      <c r="U91" s="3" t="n"/>
      <c r="V91" s="13" t="n">
        <v>46233</v>
      </c>
      <c r="W91" s="13" t="n">
        <v>46240</v>
      </c>
      <c r="X91" s="3" t="n"/>
      <c r="Y91" s="35" t="n"/>
    </row>
    <row r="92" ht="15" customHeight="1">
      <c r="A92" s="11" t="n"/>
      <c r="B92" s="11" t="n"/>
      <c r="C92" s="5" t="n"/>
      <c r="D92" s="33" t="inlineStr">
        <is>
          <t>BE - API Document List and Search</t>
        </is>
      </c>
      <c r="E92" s="3" t="inlineStr">
        <is>
          <t>https://cpallgroup.sharepoint.com/:x:/r/sites/MST-GO0666ITHW2025ReplaceSBPManagementSystem/Shared%20Documents/General/04-Analysis%20%26%20Design/LLDD/Non-Baseline/Phase%203%20%5bContract%20Management,%20Store%20Partner%20Management,%20SBP%20Employee%20Management%20(กำลังคน)%20%5d/Store%20Partner%20Management/TSM-0666-LLDD%20หน้าจอ%20ค้นหาข้อมูลรายชื่อ%20Blacklist.xlsx?d=wd734defc58ec4e7895c23befd9036f71&amp;csf=1&amp;web=1&amp;e=yLhZEo</t>
        </is>
      </c>
      <c r="F92" s="3" t="n"/>
      <c r="G92" s="14" t="n"/>
      <c r="H92" s="3" t="inlineStr">
        <is>
          <t>Not Start</t>
        </is>
      </c>
      <c r="I92" s="48" t="n">
        <v>0</v>
      </c>
      <c r="J92" s="3" t="inlineStr">
        <is>
          <t>Not Start</t>
        </is>
      </c>
      <c r="K92" s="14" t="inlineStr">
        <is>
          <t>Aphiwit &lt;Bank&gt; Khammoon</t>
        </is>
      </c>
      <c r="L92" s="13" t="n">
        <v>46248</v>
      </c>
      <c r="M92" s="13" t="n"/>
      <c r="N92" s="3" t="n"/>
      <c r="O92" s="3" t="n"/>
      <c r="P92" s="48" t="n"/>
      <c r="Q92" s="3" t="n"/>
      <c r="R92" s="3" t="n"/>
      <c r="S92" s="13" t="n"/>
      <c r="T92" s="13" t="n"/>
      <c r="U92" s="3" t="n"/>
      <c r="V92" s="13" t="n">
        <v>46241</v>
      </c>
      <c r="W92" s="13" t="n">
        <v>46248</v>
      </c>
      <c r="X92" s="3" t="n"/>
      <c r="Y92" s="35" t="n"/>
    </row>
    <row r="93" ht="15" customHeight="1">
      <c r="A93" s="11" t="n"/>
      <c r="B93" s="11" t="n"/>
      <c r="C93" s="5" t="n"/>
      <c r="D93" s="33" t="inlineStr">
        <is>
          <t>BE - API Document Create and Update</t>
        </is>
      </c>
      <c r="E93" s="3" t="n"/>
      <c r="F93" s="3" t="n"/>
      <c r="G93" s="14" t="n"/>
      <c r="H93" s="3" t="inlineStr">
        <is>
          <t>Not Start</t>
        </is>
      </c>
      <c r="I93" s="48" t="n">
        <v>0</v>
      </c>
      <c r="J93" s="3" t="inlineStr">
        <is>
          <t>Not Start</t>
        </is>
      </c>
      <c r="K93" s="14" t="inlineStr">
        <is>
          <t>Aphiwit &lt;Bank&gt; Khammoon</t>
        </is>
      </c>
      <c r="L93" s="13" t="n">
        <v>46259</v>
      </c>
      <c r="M93" s="13" t="n"/>
      <c r="N93" s="3" t="n"/>
      <c r="O93" s="3" t="n"/>
      <c r="P93" s="48" t="n"/>
      <c r="Q93" s="3" t="n"/>
      <c r="R93" s="3" t="n"/>
      <c r="S93" s="13" t="n"/>
      <c r="T93" s="13" t="n"/>
      <c r="U93" s="3" t="n"/>
      <c r="V93" s="13" t="n">
        <v>46251</v>
      </c>
      <c r="W93" s="13" t="n">
        <v>46259</v>
      </c>
      <c r="X93" s="3" t="n"/>
      <c r="Y93" s="35" t="n"/>
    </row>
    <row r="94" ht="15" customHeight="1">
      <c r="A94" s="11" t="n"/>
      <c r="B94" s="11" t="n"/>
      <c r="C94" s="5" t="n"/>
      <c r="D94" s="33" t="inlineStr">
        <is>
          <t>BE - API Document Detail Aggregate</t>
        </is>
      </c>
      <c r="E94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WFDSB/TSM-HRM-LLDD_WFDSB_InboundSTM-1.0.docx?d=wda06e05e7e3a47e797f6779ed926b7b5&amp;csf=1&amp;web=1&amp;e=se8JEA</t>
        </is>
      </c>
      <c r="F94" s="3" t="n"/>
      <c r="G94" s="14" t="n"/>
      <c r="H94" s="3" t="inlineStr">
        <is>
          <t>Not Start</t>
        </is>
      </c>
      <c r="I94" s="48" t="n">
        <v>0</v>
      </c>
      <c r="J94" s="3" t="inlineStr">
        <is>
          <t>Not Start</t>
        </is>
      </c>
      <c r="K94" s="14" t="inlineStr">
        <is>
          <t>Aphiwit &lt;Bank&gt; Khammoon</t>
        </is>
      </c>
      <c r="L94" s="13" t="n">
        <v>46268</v>
      </c>
      <c r="M94" s="13" t="n"/>
      <c r="N94" s="3" t="n"/>
      <c r="O94" s="3" t="n"/>
      <c r="P94" s="48" t="n"/>
      <c r="Q94" s="3" t="n"/>
      <c r="R94" s="3" t="n"/>
      <c r="S94" s="13" t="n"/>
      <c r="T94" s="13" t="n"/>
      <c r="U94" s="3" t="n"/>
      <c r="V94" s="13" t="n">
        <v>46260</v>
      </c>
      <c r="W94" s="13" t="n">
        <v>46268</v>
      </c>
      <c r="X94" s="3" t="n"/>
      <c r="Y94" s="35" t="n"/>
    </row>
    <row r="95" ht="15" customHeight="1">
      <c r="A95" s="11" t="n"/>
      <c r="B95" s="11" t="n"/>
      <c r="C95" s="5" t="n"/>
      <c r="D95" s="33" t="inlineStr">
        <is>
          <t>BE - API Document Workflow Actions</t>
        </is>
      </c>
      <c r="E95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WFDSB/TSM-HRM-LLDD_WFDSB_InboundAMS-1.0.docx?d=w627167c2754c415a83525079b2a3c60e&amp;csf=1&amp;web=1&amp;e=TimfB2</t>
        </is>
      </c>
      <c r="F95" s="3" t="n"/>
      <c r="G95" s="14" t="n"/>
      <c r="H95" s="3" t="inlineStr">
        <is>
          <t>Not Start</t>
        </is>
      </c>
      <c r="I95" s="48" t="n">
        <v>0</v>
      </c>
      <c r="J95" s="3" t="inlineStr">
        <is>
          <t>Not Start</t>
        </is>
      </c>
      <c r="K95" s="14" t="inlineStr">
        <is>
          <t>Aphiwit &lt;Bank&gt; Khammoon</t>
        </is>
      </c>
      <c r="L95" s="13" t="n">
        <v>46276</v>
      </c>
      <c r="M95" s="13" t="n"/>
      <c r="N95" s="3" t="n"/>
      <c r="O95" s="3" t="n"/>
      <c r="P95" s="48" t="n"/>
      <c r="Q95" s="3" t="n"/>
      <c r="R95" s="3" t="n"/>
      <c r="S95" s="13" t="n"/>
      <c r="T95" s="13" t="n"/>
      <c r="U95" s="3" t="n"/>
      <c r="V95" s="13" t="n">
        <v>46269</v>
      </c>
      <c r="W95" s="13" t="n">
        <v>46276</v>
      </c>
      <c r="X95" s="3" t="n"/>
      <c r="Y95" s="35" t="n"/>
    </row>
    <row r="96" ht="15" customHeight="1">
      <c r="A96" s="11" t="n"/>
      <c r="B96" s="11" t="n"/>
      <c r="C96" s="5" t="n"/>
      <c r="D96" s="33" t="inlineStr">
        <is>
          <t>BE - Workflow Engine and API Workflow Instances</t>
        </is>
      </c>
      <c r="E96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WFDSB/TSM-HRM-LLDD_WFDSB_OutboundSTA-1.0.docx?d=w32079c31d1ad4beab1473e40fccef5b7&amp;csf=1&amp;web=1&amp;e=yyTA0u</t>
        </is>
      </c>
      <c r="F96" s="3" t="n"/>
      <c r="G96" s="14" t="n"/>
      <c r="H96" s="3" t="inlineStr">
        <is>
          <t>Not Start</t>
        </is>
      </c>
      <c r="I96" s="48" t="n">
        <v>0</v>
      </c>
      <c r="J96" s="3" t="inlineStr">
        <is>
          <t>Not Start</t>
        </is>
      </c>
      <c r="K96" s="14" t="inlineStr">
        <is>
          <t>Butsaba &lt;But&gt; Podamrong</t>
        </is>
      </c>
      <c r="L96" s="13" t="n">
        <v>46234</v>
      </c>
      <c r="M96" s="13" t="n"/>
      <c r="N96" s="3" t="n"/>
      <c r="O96" s="3" t="n"/>
      <c r="P96" s="48" t="n"/>
      <c r="Q96" s="3" t="n"/>
      <c r="R96" s="3" t="n"/>
      <c r="S96" s="13" t="n"/>
      <c r="T96" s="13" t="n"/>
      <c r="U96" s="3" t="n"/>
      <c r="V96" s="13" t="n">
        <v>46230</v>
      </c>
      <c r="W96" s="13" t="n">
        <v>46234</v>
      </c>
      <c r="X96" s="3" t="n"/>
      <c r="Y96" s="35" t="n"/>
    </row>
    <row r="97" ht="15" customHeight="1">
      <c r="A97" s="11" t="n"/>
      <c r="B97" s="11" t="n"/>
      <c r="C97" s="5" t="n"/>
      <c r="D97" s="33" t="inlineStr">
        <is>
          <t>BE - API Attachment Sales and Timeline</t>
        </is>
      </c>
      <c r="E97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%E0%B8%81%E0%B8%B3%E0%B8%A5%E0%B8%B1%E0%B8%87%E0%B8%84%E0%B8%99)%20%5D/SBP%20Employee%20Management%20(%E0%B8%81%E0%B8%B3%E0%B8%A5%E0%B8%B1%E0%B8%87%E0%B8%84%E0%B8%99)/LLDD_WFDSB/TSM-HRM-LLDD_WFDSB_OutboundSTA-1.0.docx?d=w32079c31d1ad4beab1473e40fccef5b7&amp;csf=1&amp;web=1&amp;e=yyTA0u</t>
        </is>
      </c>
      <c r="F97" s="3" t="n"/>
      <c r="G97" s="14" t="n"/>
      <c r="H97" s="3" t="inlineStr">
        <is>
          <t>Not Start</t>
        </is>
      </c>
      <c r="I97" s="48" t="n">
        <v>0</v>
      </c>
      <c r="J97" s="3" t="inlineStr">
        <is>
          <t>Not Start</t>
        </is>
      </c>
      <c r="K97" s="14" t="inlineStr">
        <is>
          <t>Butsaba &lt;But&gt; Podamrong</t>
        </is>
      </c>
      <c r="L97" s="13" t="n">
        <v>46241</v>
      </c>
      <c r="M97" s="13" t="n"/>
      <c r="N97" s="3" t="n"/>
      <c r="O97" s="3" t="n"/>
      <c r="P97" s="48" t="n"/>
      <c r="Q97" s="3" t="n"/>
      <c r="R97" s="3" t="n"/>
      <c r="S97" s="13" t="n"/>
      <c r="T97" s="13" t="n"/>
      <c r="U97" s="3" t="n"/>
      <c r="V97" s="13" t="n">
        <v>46237</v>
      </c>
      <c r="W97" s="13" t="n">
        <v>46241</v>
      </c>
      <c r="X97" s="3" t="n"/>
      <c r="Y97" s="35" t="n"/>
    </row>
    <row r="98" ht="15" customHeight="1">
      <c r="A98" s="11" t="n"/>
      <c r="B98" s="11" t="n"/>
      <c r="C98" s="5" t="n"/>
      <c r="D98" s="33" t="inlineStr">
        <is>
          <t>BE - API Lookup RBAC and Email Template</t>
        </is>
      </c>
      <c r="E98" s="3" t="inlineStr">
        <is>
          <t>https://cpallgroup.sharepoint.com/:f:/r/sites/MST-GO0666ITHW2025ReplaceSBPManagementSystem/Shared%20Documents/General/04-Analysis%20%26%20Design/LLDD/Non-Baseline/Integration/SAP?d=w32079c31d1ad4beab1473e40fccef5b7&amp;csf=1&amp;web=1&amp;e=yyTA0u</t>
        </is>
      </c>
      <c r="F98" s="3" t="n"/>
      <c r="G98" s="14" t="n"/>
      <c r="H98" s="3" t="inlineStr">
        <is>
          <t>Not Start</t>
        </is>
      </c>
      <c r="I98" s="48" t="n">
        <v>0</v>
      </c>
      <c r="J98" s="3" t="inlineStr">
        <is>
          <t>Not Start</t>
        </is>
      </c>
      <c r="K98" s="14" t="inlineStr">
        <is>
          <t>Aphiwit &lt;Bank&gt; Khammoon</t>
        </is>
      </c>
      <c r="L98" s="13" t="n">
        <v>46289</v>
      </c>
      <c r="M98" s="13" t="n"/>
      <c r="N98" s="3" t="n"/>
      <c r="O98" s="3" t="n"/>
      <c r="P98" s="48" t="n"/>
      <c r="Q98" s="3" t="n"/>
      <c r="R98" s="3" t="n"/>
      <c r="S98" s="13" t="n"/>
      <c r="T98" s="13" t="n"/>
      <c r="U98" s="3" t="n"/>
      <c r="V98" s="13" t="n">
        <v>46279</v>
      </c>
      <c r="W98" s="13" t="n">
        <v>46289</v>
      </c>
      <c r="X98" s="3" t="n"/>
      <c r="Y98" s="35" t="n"/>
    </row>
    <row r="99" ht="15" customHeight="1">
      <c r="A99" s="11" t="n"/>
      <c r="B99" s="11" t="n"/>
      <c r="C99" s="5" t="n"/>
      <c r="D99" s="33" t="inlineStr">
        <is>
          <t>BE - API Report Master Config</t>
        </is>
      </c>
      <c r="E99" s="3" t="inlineStr">
        <is>
          <t>https://cpallgroup.sharepoint.com/:x:/r/sites/MST-GO0666ITHW2025ReplaceSBPManagementSystem/Shared%20Documents/General/04-Analysis%20%26%20Design/LLDD/Non-Baseline/TSM_SRM_LLDD-Integration%20MQ-1.2.xlsx?d=w32079c31d1ad4beab1473e40fccef5b7&amp;csf=1&amp;web=1&amp;e=yyTA0u</t>
        </is>
      </c>
      <c r="F99" s="3" t="n"/>
      <c r="G99" s="14" t="n"/>
      <c r="H99" s="3" t="inlineStr">
        <is>
          <t>Not Start</t>
        </is>
      </c>
      <c r="I99" s="48" t="n">
        <v>0</v>
      </c>
      <c r="J99" s="3" t="inlineStr">
        <is>
          <t>Not Start</t>
        </is>
      </c>
      <c r="K99" s="14" t="inlineStr">
        <is>
          <t>Butsaba &lt;But&gt; Podamrong</t>
        </is>
      </c>
      <c r="L99" s="13" t="n">
        <v>46266</v>
      </c>
      <c r="M99" s="13" t="n"/>
      <c r="N99" s="3" t="n"/>
      <c r="O99" s="3" t="n"/>
      <c r="P99" s="48" t="n"/>
      <c r="Q99" s="3" t="n"/>
      <c r="R99" s="3" t="n"/>
      <c r="S99" s="13" t="n"/>
      <c r="T99" s="13" t="n"/>
      <c r="U99" s="3" t="n"/>
      <c r="V99" s="13" t="n">
        <v>46244</v>
      </c>
      <c r="W99" s="13" t="n">
        <v>46266</v>
      </c>
      <c r="X99" s="3" t="n"/>
      <c r="Y99" s="35" t="n"/>
    </row>
    <row r="100" ht="15" customHeight="1">
      <c r="A100" s="11" t="n"/>
      <c r="B100" s="11" t="n"/>
      <c r="C100" s="5" t="n"/>
      <c r="D100" s="33" t="inlineStr">
        <is>
          <t>BE - Job Batch Email and SRM Integration</t>
        </is>
      </c>
      <c r="E100" s="3" t="inlineStr">
        <is>
          <t>https://cpallgroup.sharepoint.com/:f:/r/sites/MST-GO0666ITHW2025ReplaceSBPManagementSystem/Shared%20Documents/General/04-Analysis%20%26%20Design/LLDD/Non-Baseline/Review%20%26%20Approve/SBP%20Mall%20Portal/SIV?d=w51e3b8fa688944ceae3c18fdd5f494a8&amp;csf=1&amp;web=1&amp;e=9Zqe2E</t>
        </is>
      </c>
      <c r="F100" s="3" t="n"/>
      <c r="G100" s="14" t="n"/>
      <c r="H100" s="3" t="inlineStr">
        <is>
          <t>Not Start</t>
        </is>
      </c>
      <c r="I100" s="48" t="n">
        <v>0</v>
      </c>
      <c r="J100" s="3" t="inlineStr">
        <is>
          <t>Not Start</t>
        </is>
      </c>
      <c r="K100" s="14" t="inlineStr">
        <is>
          <t>Butsaba &lt;But&gt; Podamrong</t>
        </is>
      </c>
      <c r="L100" s="13" t="n">
        <v>46293</v>
      </c>
      <c r="M100" s="13" t="n"/>
      <c r="N100" s="3" t="n"/>
      <c r="O100" s="3" t="n"/>
      <c r="P100" s="48" t="n"/>
      <c r="Q100" s="3" t="n"/>
      <c r="R100" s="3" t="n"/>
      <c r="S100" s="13" t="n"/>
      <c r="T100" s="13" t="n"/>
      <c r="U100" s="3" t="n"/>
      <c r="V100" s="13" t="n">
        <v>46267</v>
      </c>
      <c r="W100" s="13" t="n">
        <v>46293</v>
      </c>
      <c r="X100" s="3" t="n"/>
      <c r="Y100" s="35" t="n"/>
    </row>
    <row r="101" ht="15" customHeight="1">
      <c r="A101" s="11" t="n"/>
      <c r="B101" s="11" t="n"/>
      <c r="C101" s="5" t="n"/>
      <c r="D101" s="33" t="inlineStr">
        <is>
          <t>Job 1 ImportQSSI</t>
        </is>
      </c>
      <c r="E101" s="3" t="n"/>
      <c r="F101" s="3" t="n"/>
      <c r="G101" s="14" t="n"/>
      <c r="H101" s="3" t="inlineStr">
        <is>
          <t>Not Start</t>
        </is>
      </c>
      <c r="I101" s="48" t="n">
        <v>0</v>
      </c>
      <c r="J101" s="3" t="inlineStr">
        <is>
          <t>Not Start</t>
        </is>
      </c>
      <c r="K101" s="14" t="inlineStr">
        <is>
          <t>Aphiwit &lt;Bank&gt; Khammoon</t>
        </is>
      </c>
      <c r="L101" s="13" t="n">
        <v>46293</v>
      </c>
      <c r="M101" s="13" t="n"/>
      <c r="N101" s="3" t="n"/>
      <c r="O101" s="3" t="n"/>
      <c r="P101" s="48" t="n"/>
      <c r="Q101" s="3" t="n"/>
      <c r="R101" s="3" t="n"/>
      <c r="S101" s="13" t="n"/>
      <c r="T101" s="13" t="n"/>
      <c r="U101" s="3" t="n"/>
      <c r="V101" s="13" t="n">
        <v>46290</v>
      </c>
      <c r="W101" s="13" t="n">
        <v>46293</v>
      </c>
      <c r="X101" s="3" t="n"/>
      <c r="Y101" s="35" t="n"/>
    </row>
    <row r="102" ht="15" customHeight="1">
      <c r="A102" s="11" t="n"/>
      <c r="B102" s="11" t="n"/>
      <c r="C102" s="5" t="n"/>
      <c r="D102" s="33" t="inlineStr">
        <is>
          <t>Job 2 ImportImpactStore</t>
        </is>
      </c>
      <c r="E102" s="3" t="n"/>
      <c r="F102" s="3" t="n"/>
      <c r="G102" s="14" t="n"/>
      <c r="H102" s="3" t="inlineStr">
        <is>
          <t>Not Start</t>
        </is>
      </c>
      <c r="I102" s="48" t="n">
        <v>0</v>
      </c>
      <c r="J102" s="3" t="inlineStr">
        <is>
          <t>Not Start</t>
        </is>
      </c>
      <c r="K102" s="14" t="inlineStr">
        <is>
          <t>Aphiwit &lt;Bank&gt; Khammoon</t>
        </is>
      </c>
      <c r="L102" s="13" t="n">
        <v>46295</v>
      </c>
      <c r="M102" s="13" t="n"/>
      <c r="N102" s="3" t="n"/>
      <c r="O102" s="3" t="n"/>
      <c r="P102" s="48" t="n"/>
      <c r="Q102" s="3" t="n"/>
      <c r="R102" s="3" t="n"/>
      <c r="S102" s="13" t="n"/>
      <c r="T102" s="13" t="n"/>
      <c r="U102" s="3" t="n"/>
      <c r="V102" s="13" t="n">
        <v>46294</v>
      </c>
      <c r="W102" s="13" t="n">
        <v>46295</v>
      </c>
      <c r="X102" s="3" t="n"/>
      <c r="Y102" s="35" t="n"/>
    </row>
    <row r="103" ht="15" customHeight="1">
      <c r="A103" s="11" t="n"/>
      <c r="B103" s="11" t="n"/>
      <c r="C103" s="5" t="n"/>
      <c r="D103" s="33" t="inlineStr">
        <is>
          <t>Job 3 ImportImpactCompetitor</t>
        </is>
      </c>
      <c r="E103" s="3" t="n"/>
      <c r="F103" s="3" t="n"/>
      <c r="G103" s="14" t="n"/>
      <c r="H103" s="3" t="inlineStr">
        <is>
          <t>Not Start</t>
        </is>
      </c>
      <c r="I103" s="48" t="n">
        <v>0</v>
      </c>
      <c r="J103" s="3" t="inlineStr">
        <is>
          <t>Not Start</t>
        </is>
      </c>
      <c r="K103" s="14" t="inlineStr">
        <is>
          <t>Aphiwit &lt;Bank&gt; Khammoon</t>
        </is>
      </c>
      <c r="L103" s="13" t="n">
        <v>46297</v>
      </c>
      <c r="M103" s="13" t="n"/>
      <c r="N103" s="3" t="n"/>
      <c r="O103" s="3" t="n"/>
      <c r="P103" s="48" t="n"/>
      <c r="Q103" s="3" t="n"/>
      <c r="R103" s="3" t="n"/>
      <c r="S103" s="13" t="n"/>
      <c r="T103" s="13" t="n"/>
      <c r="U103" s="3" t="n"/>
      <c r="V103" s="13" t="n">
        <v>46296</v>
      </c>
      <c r="W103" s="13" t="n">
        <v>46297</v>
      </c>
      <c r="X103" s="3" t="n"/>
      <c r="Y103" s="35" t="n"/>
    </row>
    <row r="104" ht="15" customHeight="1">
      <c r="A104" s="11" t="n"/>
      <c r="B104" s="11" t="n"/>
      <c r="C104" s="5" t="n"/>
      <c r="D104" s="33" t="inlineStr">
        <is>
          <t>Job 4 PrepareImpactStoreToIAS</t>
        </is>
      </c>
      <c r="E104" s="3" t="n"/>
      <c r="F104" s="3" t="n"/>
      <c r="G104" s="14" t="n"/>
      <c r="H104" s="3" t="inlineStr">
        <is>
          <t>Not Start</t>
        </is>
      </c>
      <c r="I104" s="48" t="n">
        <v>0</v>
      </c>
      <c r="J104" s="3" t="inlineStr">
        <is>
          <t>Not Start</t>
        </is>
      </c>
      <c r="K104" s="14" t="inlineStr">
        <is>
          <t>Aphiwit &lt;Bank&gt; Khammoon</t>
        </is>
      </c>
      <c r="L104" s="13" t="n">
        <v>46301</v>
      </c>
      <c r="M104" s="13" t="n"/>
      <c r="N104" s="3" t="n"/>
      <c r="O104" s="3" t="n"/>
      <c r="P104" s="48" t="n"/>
      <c r="Q104" s="3" t="n"/>
      <c r="R104" s="3" t="n"/>
      <c r="S104" s="13" t="n"/>
      <c r="T104" s="13" t="n"/>
      <c r="U104" s="3" t="n"/>
      <c r="V104" s="13" t="n">
        <v>46300</v>
      </c>
      <c r="W104" s="13" t="n">
        <v>46301</v>
      </c>
      <c r="X104" s="3" t="n"/>
      <c r="Y104" s="35" t="n"/>
    </row>
    <row r="105" ht="15" customHeight="1">
      <c r="A105" s="11" t="n"/>
      <c r="B105" s="11" t="n"/>
      <c r="C105" s="5" t="n"/>
      <c r="D105" s="33" t="inlineStr">
        <is>
          <t>Job 5 ImportImpactSaleFromIAS</t>
        </is>
      </c>
      <c r="E105" s="3" t="n"/>
      <c r="F105" s="3" t="n"/>
      <c r="G105" s="14" t="n"/>
      <c r="H105" s="3" t="inlineStr">
        <is>
          <t>Not Start</t>
        </is>
      </c>
      <c r="I105" s="48" t="n">
        <v>0</v>
      </c>
      <c r="J105" s="3" t="inlineStr">
        <is>
          <t>Not Start</t>
        </is>
      </c>
      <c r="K105" s="14" t="inlineStr">
        <is>
          <t>Aphiwit &lt;Bank&gt; Khammoon</t>
        </is>
      </c>
      <c r="L105" s="13" t="n">
        <v>46303</v>
      </c>
      <c r="M105" s="13" t="n"/>
      <c r="N105" s="3" t="n"/>
      <c r="O105" s="3" t="n"/>
      <c r="P105" s="48" t="n"/>
      <c r="Q105" s="3" t="n"/>
      <c r="R105" s="3" t="n"/>
      <c r="S105" s="13" t="n"/>
      <c r="T105" s="13" t="n"/>
      <c r="U105" s="3" t="n"/>
      <c r="V105" s="13" t="n">
        <v>46302</v>
      </c>
      <c r="W105" s="13" t="n">
        <v>46303</v>
      </c>
      <c r="X105" s="3" t="n"/>
      <c r="Y105" s="35" t="n"/>
    </row>
    <row r="106" ht="15" customHeight="1">
      <c r="A106" s="11" t="n"/>
      <c r="B106" s="11" t="n"/>
      <c r="C106" s="5" t="n"/>
      <c r="D106" s="33" t="inlineStr">
        <is>
          <t>Job 6 ExportImpactStoreToFS</t>
        </is>
      </c>
      <c r="E106" s="3" t="n"/>
      <c r="F106" s="3" t="n"/>
      <c r="G106" s="14" t="n"/>
      <c r="H106" s="3" t="inlineStr">
        <is>
          <t>Not Start</t>
        </is>
      </c>
      <c r="I106" s="48" t="n">
        <v>0</v>
      </c>
      <c r="J106" s="3" t="inlineStr">
        <is>
          <t>Not Start</t>
        </is>
      </c>
      <c r="K106" s="14" t="inlineStr">
        <is>
          <t>Butsaba &lt;But&gt; Podamrong</t>
        </is>
      </c>
      <c r="L106" s="13" t="n">
        <v>46295</v>
      </c>
      <c r="M106" s="13" t="n"/>
      <c r="N106" s="3" t="n"/>
      <c r="O106" s="3" t="n"/>
      <c r="P106" s="48" t="n"/>
      <c r="Q106" s="3" t="n"/>
      <c r="R106" s="3" t="n"/>
      <c r="S106" s="13" t="n"/>
      <c r="T106" s="13" t="n"/>
      <c r="U106" s="3" t="n"/>
      <c r="V106" s="13" t="n">
        <v>46294</v>
      </c>
      <c r="W106" s="13" t="n">
        <v>46295</v>
      </c>
      <c r="X106" s="3" t="n"/>
      <c r="Y106" s="35" t="n"/>
    </row>
    <row r="107" ht="15" customHeight="1">
      <c r="A107" s="11" t="n"/>
      <c r="B107" s="11" t="n"/>
      <c r="C107" s="5" t="n"/>
      <c r="D107" s="33" t="inlineStr">
        <is>
          <t>Job 7 SyncCompetitorToDocument</t>
        </is>
      </c>
      <c r="E107" s="3" t="n"/>
      <c r="F107" s="3" t="n"/>
      <c r="G107" s="14" t="n"/>
      <c r="H107" s="3" t="inlineStr">
        <is>
          <t>Not Start</t>
        </is>
      </c>
      <c r="I107" s="48" t="n">
        <v>0</v>
      </c>
      <c r="J107" s="3" t="inlineStr">
        <is>
          <t>Not Start</t>
        </is>
      </c>
      <c r="K107" s="14" t="inlineStr">
        <is>
          <t>Butsaba &lt;But&gt; Podamrong</t>
        </is>
      </c>
      <c r="L107" s="13" t="n">
        <v>46297</v>
      </c>
      <c r="M107" s="13" t="n"/>
      <c r="N107" s="3" t="n"/>
      <c r="O107" s="3" t="n"/>
      <c r="P107" s="48" t="n"/>
      <c r="Q107" s="3" t="n"/>
      <c r="R107" s="3" t="n"/>
      <c r="S107" s="13" t="n"/>
      <c r="T107" s="13" t="n"/>
      <c r="U107" s="3" t="n"/>
      <c r="V107" s="13" t="n">
        <v>46296</v>
      </c>
      <c r="W107" s="13" t="n">
        <v>46297</v>
      </c>
      <c r="X107" s="3" t="n"/>
      <c r="Y107" s="35" t="n"/>
    </row>
    <row r="108" ht="15" customHeight="1">
      <c r="A108" s="11" t="n"/>
      <c r="B108" s="11" t="n"/>
      <c r="C108" s="5" t="n"/>
      <c r="D108" s="33" t="inlineStr">
        <is>
          <t>Job 8 CreateCompensationDocument</t>
        </is>
      </c>
      <c r="E108" s="3" t="n"/>
      <c r="F108" s="3" t="n"/>
      <c r="G108" s="14" t="n"/>
      <c r="H108" s="3" t="inlineStr">
        <is>
          <t>Not Start</t>
        </is>
      </c>
      <c r="I108" s="48" t="n">
        <v>0</v>
      </c>
      <c r="J108" s="3" t="inlineStr">
        <is>
          <t>Not Start</t>
        </is>
      </c>
      <c r="K108" s="14" t="inlineStr">
        <is>
          <t>Butsaba &lt;But&gt; Podamrong</t>
        </is>
      </c>
      <c r="L108" s="13" t="n">
        <v>46301</v>
      </c>
      <c r="M108" s="13" t="n"/>
      <c r="N108" s="3" t="n"/>
      <c r="O108" s="3" t="n"/>
      <c r="P108" s="48" t="n"/>
      <c r="Q108" s="3" t="n"/>
      <c r="R108" s="3" t="n"/>
      <c r="S108" s="13" t="n"/>
      <c r="T108" s="13" t="n"/>
      <c r="U108" s="3" t="n"/>
      <c r="V108" s="13" t="n">
        <v>46300</v>
      </c>
      <c r="W108" s="13" t="n">
        <v>46301</v>
      </c>
      <c r="X108" s="3" t="n"/>
      <c r="Y108" s="35" t="n"/>
    </row>
    <row r="109" ht="15" customHeight="1">
      <c r="A109" s="11" t="n"/>
      <c r="B109" s="11" t="n"/>
      <c r="C109" s="5" t="n"/>
      <c r="D109" s="33" t="inlineStr">
        <is>
          <t>Job 8b StartInternalWorkflow</t>
        </is>
      </c>
      <c r="E109" s="3" t="n"/>
      <c r="F109" s="3" t="n"/>
      <c r="G109" s="14" t="n"/>
      <c r="H109" s="3" t="inlineStr">
        <is>
          <t>Not Start</t>
        </is>
      </c>
      <c r="I109" s="48" t="n">
        <v>0</v>
      </c>
      <c r="J109" s="3" t="inlineStr">
        <is>
          <t>Not Start</t>
        </is>
      </c>
      <c r="K109" s="14" t="inlineStr">
        <is>
          <t>Butsaba &lt;But&gt; Podamrong</t>
        </is>
      </c>
      <c r="L109" s="13" t="n">
        <v>46303</v>
      </c>
      <c r="M109" s="13" t="n"/>
      <c r="N109" s="3" t="n"/>
      <c r="O109" s="3" t="n"/>
      <c r="P109" s="48" t="n"/>
      <c r="Q109" s="3" t="n"/>
      <c r="R109" s="3" t="n"/>
      <c r="S109" s="13" t="n"/>
      <c r="T109" s="13" t="n"/>
      <c r="U109" s="3" t="n"/>
      <c r="V109" s="13" t="n">
        <v>46302</v>
      </c>
      <c r="W109" s="13" t="n">
        <v>46303</v>
      </c>
      <c r="X109" s="3" t="n"/>
      <c r="Y109" s="35" t="n"/>
    </row>
    <row r="110" ht="15" customHeight="1">
      <c r="A110" s="11" t="n"/>
      <c r="B110" s="11" t="n"/>
      <c r="C110" s="5" t="n"/>
      <c r="D110" s="33" t="inlineStr">
        <is>
          <t>Job 9 SyncNewStoreToDocument</t>
        </is>
      </c>
      <c r="E110" s="3" t="n"/>
      <c r="F110" s="3" t="n"/>
      <c r="G110" s="14" t="n"/>
      <c r="H110" s="3" t="inlineStr">
        <is>
          <t>Not Start</t>
        </is>
      </c>
      <c r="I110" s="48" t="n">
        <v>0</v>
      </c>
      <c r="J110" s="3" t="inlineStr">
        <is>
          <t>Not Start</t>
        </is>
      </c>
      <c r="K110" s="14" t="inlineStr">
        <is>
          <t>Butsaba &lt;But&gt; Podamrong</t>
        </is>
      </c>
      <c r="L110" s="13" t="n">
        <v>46307</v>
      </c>
      <c r="M110" s="13" t="n"/>
      <c r="N110" s="3" t="n"/>
      <c r="O110" s="3" t="n"/>
      <c r="P110" s="48" t="n"/>
      <c r="Q110" s="3" t="n"/>
      <c r="R110" s="3" t="n"/>
      <c r="S110" s="13" t="n"/>
      <c r="T110" s="13" t="n"/>
      <c r="U110" s="3" t="n"/>
      <c r="V110" s="13" t="n">
        <v>46304</v>
      </c>
      <c r="W110" s="13" t="n">
        <v>46307</v>
      </c>
      <c r="X110" s="3" t="n"/>
      <c r="Y110" s="35" t="n"/>
    </row>
    <row r="111" ht="15" customHeight="1">
      <c r="A111" s="11" t="n"/>
      <c r="B111" s="11" t="n"/>
      <c r="C111" s="5" t="n"/>
      <c r="D111" s="33" t="inlineStr">
        <is>
          <t>Job 10 NotifyNoReceiveData</t>
        </is>
      </c>
      <c r="E111" s="3" t="n"/>
      <c r="F111" s="3" t="n"/>
      <c r="G111" s="14" t="n"/>
      <c r="H111" s="3" t="inlineStr">
        <is>
          <t>Not Start</t>
        </is>
      </c>
      <c r="I111" s="48" t="n">
        <v>0</v>
      </c>
      <c r="J111" s="3" t="inlineStr">
        <is>
          <t>Not Start</t>
        </is>
      </c>
      <c r="K111" s="14" t="inlineStr">
        <is>
          <t>Butsaba &lt;But&gt; Podamrong</t>
        </is>
      </c>
      <c r="L111" s="13" t="n">
        <v>46308</v>
      </c>
      <c r="M111" s="13" t="n"/>
      <c r="N111" s="3" t="n"/>
      <c r="O111" s="3" t="n"/>
      <c r="P111" s="48" t="n"/>
      <c r="Q111" s="3" t="n"/>
      <c r="R111" s="3" t="n"/>
      <c r="S111" s="13" t="n"/>
      <c r="T111" s="13" t="n"/>
      <c r="U111" s="3" t="n"/>
      <c r="V111" s="13" t="n">
        <v>46308</v>
      </c>
      <c r="W111" s="13" t="n">
        <v>46308</v>
      </c>
      <c r="X111" s="3" t="n"/>
      <c r="Y111" s="35" t="n"/>
    </row>
    <row r="112" ht="15" customHeight="1">
      <c r="A112" s="3" t="n"/>
      <c r="B112" s="93" t="inlineStr">
        <is>
          <t>Phase #3</t>
        </is>
      </c>
      <c r="C112" s="127" t="inlineStr">
        <is>
          <t>4.4 SBP Employee Management (กำลังคน)</t>
        </is>
      </c>
      <c r="D112" s="146" t="n"/>
      <c r="E112" s="3" t="inlineStr">
        <is>
          <t>https://cpallgroup.sharepoint.com/:w:/r/sites/MST-GO0666ITHW2025ReplaceSBPManagementSystem/Shared%20Documents/General/04-Analysis%20%26%20Design/LLDD/Non-Baseline/1.%20SBP%20Portal/TSM-TEM-LLDD_SBP_Investor_Web-1.0.docx?d=web124b3edd2e425caf14a77bbe1bf62f&amp;csf=1&amp;web=1&amp;e=4n3wvC</t>
        </is>
      </c>
      <c r="F112" s="3" t="n"/>
      <c r="G112" s="3" t="n"/>
      <c r="H112" s="3" t="n"/>
      <c r="I112" s="45">
        <f>(SUM(I114:I114)/1)</f>
        <v/>
      </c>
      <c r="J112" s="3" t="n"/>
      <c r="K112" s="3" t="n"/>
      <c r="L112" s="13" t="n"/>
      <c r="M112" s="13" t="n"/>
      <c r="N112" s="3" t="n"/>
      <c r="O112" s="3" t="n"/>
      <c r="P112" s="45">
        <f>(SUM(P114:P114)/1)</f>
        <v/>
      </c>
      <c r="Q112" s="3" t="n"/>
      <c r="R112" s="3" t="n"/>
      <c r="S112" s="13" t="n"/>
      <c r="T112" s="13" t="n"/>
      <c r="U112" s="3" t="n"/>
      <c r="V112" s="3" t="n"/>
      <c r="W112" s="3" t="n"/>
      <c r="X112" s="3" t="n"/>
      <c r="Y112" s="35" t="n"/>
    </row>
    <row r="113" ht="15" customHeight="1">
      <c r="A113" s="3" t="n"/>
      <c r="B113" s="3" t="n"/>
      <c r="C113" s="127" t="n"/>
      <c r="D113" s="128" t="inlineStr">
        <is>
          <t>EML-SB (ข้อมูล Emp profile แทน SBP)</t>
        </is>
      </c>
      <c r="E113" s="3" t="inlineStr">
        <is>
          <t>https://cpallgroup.sharepoint.com/:x:/r/sites/MST-GO0666ITHW2025ReplaceSBPManagementSystem/Shared%20Documents/General/04-Analysis%20%26%20Design/LLDD/Non-Baseline/Store%20Partner%20Management/TSM-SRM-LLDD%20%20Declare%20-%202.0.xlsx?d=wa1e8e8d6bb524cdf94944b8d986e2cdd&amp;csf=1&amp;web=1&amp;e=bT16qd</t>
        </is>
      </c>
      <c r="F113" s="3" t="n"/>
      <c r="G113" s="3" t="n"/>
      <c r="H113" s="3" t="n"/>
      <c r="I113" s="45" t="n"/>
      <c r="J113" s="3" t="n"/>
      <c r="K113" s="3" t="n"/>
      <c r="L113" s="13" t="n"/>
      <c r="M113" s="13" t="n"/>
      <c r="N113" s="3" t="n"/>
      <c r="O113" s="3" t="n"/>
      <c r="P113" s="45" t="n"/>
      <c r="Q113" s="3" t="n"/>
      <c r="R113" s="3" t="n"/>
      <c r="S113" s="13" t="n"/>
      <c r="T113" s="13" t="n"/>
      <c r="U113" s="3" t="n"/>
      <c r="V113" s="3" t="n"/>
      <c r="W113" s="3" t="n"/>
      <c r="X113" s="3" t="n"/>
      <c r="Y113" s="35" t="n"/>
    </row>
    <row r="114" ht="100.5" customHeight="1">
      <c r="A114" s="3" t="n">
        <v>33</v>
      </c>
      <c r="B114" s="3" t="n"/>
      <c r="C114" s="4" t="n"/>
      <c r="D114" s="103" t="inlineStr">
        <is>
          <t>Inbound OAS</t>
        </is>
      </c>
      <c r="E114" s="27" t="inlineStr">
        <is>
          <t>Link</t>
        </is>
      </c>
      <c r="F114" s="3" t="n"/>
      <c r="G114" s="14" t="inlineStr">
        <is>
          <t>EML-SB</t>
        </is>
      </c>
      <c r="H114" s="22" t="inlineStr">
        <is>
          <t>Done</t>
        </is>
      </c>
      <c r="I114" s="47" t="n">
        <v>1</v>
      </c>
      <c r="J114" s="3">
        <f>IF(H114="Done","Done",
   IF(L114=TODAY(),"Due",
      IF(L114&lt;TODAY(),"Overdue",
         IF(AND(L114&gt;TODAY(),L114&lt;=TODAY()+5),"Upcoming","OnTrack"))))</f>
        <v/>
      </c>
      <c r="K114" s="19" t="inlineStr">
        <is>
          <t>Chootima &lt;Fern&gt; P.</t>
        </is>
      </c>
      <c r="L114" s="13" t="n">
        <v>45982</v>
      </c>
      <c r="M114" s="13" t="n">
        <v>45982</v>
      </c>
      <c r="N114" s="13" t="n">
        <v>45992</v>
      </c>
      <c r="O114" s="22" t="inlineStr">
        <is>
          <t>Done</t>
        </is>
      </c>
      <c r="P114" s="48" t="n">
        <v>1</v>
      </c>
      <c r="Q114" s="3">
        <f>IF(O114="Not Start","Not Start",
   IF(AND(O114="Done",U114&gt;T114),"Done with Overdue",
      IF(O114="Done","Done",
         IF(T114=TODAY(),"Due",
            IF(T114&lt;TODAY(),"Overdue",
               IF(AND(T114&gt;TODAY(),T114&lt;=TODAY()+5),"Upcoming","On Track"))))))</f>
        <v/>
      </c>
      <c r="R114" s="3" t="inlineStr">
        <is>
          <t>Suphachai &lt;To&gt; S.</t>
        </is>
      </c>
      <c r="S114" s="13" t="n">
        <v>45999</v>
      </c>
      <c r="T114" s="13" t="n">
        <v>45999</v>
      </c>
      <c r="U114" s="13" t="n">
        <v>46038</v>
      </c>
      <c r="V114" s="13" t="n">
        <v>46013</v>
      </c>
      <c r="W114" s="13" t="n">
        <v>46122</v>
      </c>
      <c r="X114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
19/01/2026 : ฆำพอรแำ ส่งแก้ไขตาม Comment</t>
        </is>
      </c>
      <c r="Y114" s="35" t="n"/>
    </row>
    <row r="115" ht="100.5" customHeight="1">
      <c r="A115" s="3" t="n">
        <v>34</v>
      </c>
      <c r="B115" s="3" t="n"/>
      <c r="C115" s="4" t="n"/>
      <c r="D115" s="103" t="inlineStr">
        <is>
          <t>Inbound STC</t>
        </is>
      </c>
      <c r="E115" s="27" t="inlineStr">
        <is>
          <t>Link</t>
        </is>
      </c>
      <c r="F115" s="3" t="inlineStr">
        <is>
          <t>https://cpallgroup.sharepoint.com/:f:/r/sites/MST-GO0666ITHW2025ReplaceSBPManagementSystem/Shared%20Documents/General/04-Analysis%20%26%20Design/LLDD/Non-Baseline/_Review%20%26%20Approve/SBP%20Evaluation%20Management/%E0%B8%81%E0%B8%B2%E0%B8%A3%E0%B8%99%E0%B8%B3%E0%B9%80%E0%B8%82%E0%B9%89%E0%B8%B2%E0%B8%82%E0%B9%89%E0%B8%AD%E0%B8%A1%E0%B8%B9%E0%B8%A5%E0%B9%80%E0%B8%9B%E0%B9%89%E0%B8%B2%E0%B8%AB%E0%B8%A1%E0%B8%B2%E0%B8%A2%E0%B9%81%E0%B8%A5%E0%B8%B0%E0%B9%80%E0%B8%81%E0%B8%B4%E0%B8%94%E0%B8%88%E0%B8%A3%E0%B8%B4%E0%B8%87%20(%E0%B9%80%E0%B8%A1%E0%B8%99%E0%B8%B9%E0%B8%99%E0%B8%B3%E0%B9%80%E0%B8%82%E0%B9%89%E0%B8%B2%E0%B8%82%E0%B9%89%E0%B8%AD%E0%B8%A1%E0%B8%B9%E0%B8%A5%E0%B8%A3%E0%B8%B0%E0%B8%9A%E0%B8%9A)?csf=1&amp;web=1&amp;e=Jtvopf</t>
        </is>
      </c>
      <c r="G115" s="14" t="inlineStr">
        <is>
          <t>EML-SB</t>
        </is>
      </c>
      <c r="H115" s="22" t="inlineStr">
        <is>
          <t>Done</t>
        </is>
      </c>
      <c r="I115" s="47" t="n">
        <v>1</v>
      </c>
      <c r="J115" s="3">
        <f>IF(H115="Done","Done",
   IF(L115=TODAY(),"Due",
      IF(L115&lt;TODAY(),"Overdue",
         IF(AND(L115&gt;TODAY(),L115&lt;=TODAY()+5),"Upcoming","OnTrack"))))</f>
        <v/>
      </c>
      <c r="K115" s="19" t="inlineStr">
        <is>
          <t>Chootima &lt;Fern&gt; P.</t>
        </is>
      </c>
      <c r="L115" s="13" t="n">
        <v>45987</v>
      </c>
      <c r="M115" s="13" t="n">
        <v>45987</v>
      </c>
      <c r="N115" s="13" t="n">
        <v>45992</v>
      </c>
      <c r="O115" s="22" t="inlineStr">
        <is>
          <t>Done</t>
        </is>
      </c>
      <c r="P115" s="48" t="n">
        <v>1</v>
      </c>
      <c r="Q115" s="3">
        <f>IF(O115="Not Start","Not Start",
   IF(AND(O115="Done",U115&gt;T115),"Done with Overdue",
      IF(O115="Done","Done",
         IF(T115=TODAY(),"Due",
            IF(T115&lt;TODAY(),"Overdue",
               IF(AND(T115&gt;TODAY(),T115&lt;=TODAY()+5),"Upcoming","On Track"))))))</f>
        <v/>
      </c>
      <c r="R115" s="3" t="inlineStr">
        <is>
          <t>Suphachai &lt;To&gt; S.</t>
        </is>
      </c>
      <c r="S115" s="13" t="n">
        <v>45999</v>
      </c>
      <c r="T115" s="13" t="n">
        <v>45999</v>
      </c>
      <c r="U115" s="13" t="n">
        <v>46038</v>
      </c>
      <c r="V115" s="13" t="n">
        <v>46013</v>
      </c>
      <c r="W115" s="13" t="n">
        <v>46122</v>
      </c>
      <c r="X115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
22/01/2026 : ฆำพอรแำ ส่งแก้ไขตาม Comment</t>
        </is>
      </c>
      <c r="Y115" s="35" t="n"/>
    </row>
    <row r="116" ht="87.75" customHeight="1">
      <c r="A116" s="3" t="n">
        <v>35</v>
      </c>
      <c r="B116" s="3" t="n"/>
      <c r="C116" s="4" t="n"/>
      <c r="D116" s="104" t="inlineStr">
        <is>
          <t>Inbound DTS</t>
        </is>
      </c>
      <c r="E116" s="27" t="inlineStr">
        <is>
          <t>Link</t>
        </is>
      </c>
      <c r="F116" s="3" t="inlineStr">
        <is>
          <t>https://cpallgroup.sharepoint.com/:w:/r/sites/MST-GO0666ITHW2025ReplaceSBPManagementSystem/Shared%20Documents/General/04-Analysis%20%26%20Design/LLDD/Non-Baseline/SBP%20Evalation/TSM-GO0666-LLDD-เมนูการแจ้งประเมิน%20(FES)-1.docx?csf=1&amp;web=1&amp;e=jxByND</t>
        </is>
      </c>
      <c r="G116" s="14" t="inlineStr">
        <is>
          <t>EML-SB</t>
        </is>
      </c>
      <c r="H116" s="22" t="inlineStr">
        <is>
          <t>Done</t>
        </is>
      </c>
      <c r="I116" s="47" t="n">
        <v>1</v>
      </c>
      <c r="J116" s="3">
        <f>IF(H116="Done","Done",
   IF(L116=TODAY(),"Due",
      IF(L116&lt;TODAY(),"Overdue",
         IF(AND(L116&gt;TODAY(),L116&lt;=TODAY()+5),"Upcoming","OnTrack"))))</f>
        <v/>
      </c>
      <c r="K116" s="19" t="inlineStr">
        <is>
          <t>Chootima &lt;Fern&gt; P.</t>
        </is>
      </c>
      <c r="L116" s="13" t="n">
        <v>46076</v>
      </c>
      <c r="M116" s="13" t="n">
        <v>46079</v>
      </c>
      <c r="N116" s="13" t="n">
        <v>46080</v>
      </c>
      <c r="O116" s="22" t="inlineStr">
        <is>
          <t>Done</t>
        </is>
      </c>
      <c r="P116" s="48" t="n">
        <v>1</v>
      </c>
      <c r="Q116" s="3">
        <f>IF(O116="Not Start","Not Start",
   IF(AND(O116="Done",U116&gt;T116),"Done with Overdue",
      IF(O116="Done","Done",
         IF(T116=TODAY(),"Due",
            IF(T116&lt;TODAY(),"Overdue",
               IF(AND(T116&gt;TODAY(),T116&lt;=TODAY()+5),"Upcoming","On Track"))))))</f>
        <v/>
      </c>
      <c r="R116" s="3" t="inlineStr">
        <is>
          <t>Suphachai &lt;To&gt; S.</t>
        </is>
      </c>
      <c r="S116" s="13" t="n">
        <v>46087</v>
      </c>
      <c r="T116" s="13" t="n">
        <v>46087</v>
      </c>
      <c r="U116" s="13" t="n">
        <v>46038</v>
      </c>
      <c r="V116" s="13" t="n">
        <v>46013</v>
      </c>
      <c r="W116" s="13" t="n">
        <v>46122</v>
      </c>
      <c r="X116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</t>
        </is>
      </c>
      <c r="Y116" s="35" t="n"/>
    </row>
    <row r="117" ht="15" customHeight="1">
      <c r="A117" s="3" t="n">
        <v>36</v>
      </c>
      <c r="B117" s="3" t="n"/>
      <c r="C117" s="4" t="n"/>
      <c r="D117" s="105" t="inlineStr">
        <is>
          <t>Inbound SBPMall ยังไม่มีข้อมูลเส้นใหม่</t>
        </is>
      </c>
      <c r="E117" s="3" t="inlineStr">
        <is>
          <t>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ตรวจสอบประเมินผล%20(FES)-1.0.docx?d=wed44706cc9404926ae3aac612c01e800&amp;csf=1&amp;web=1&amp;e=VdbdB9</t>
        </is>
      </c>
      <c r="F117" s="3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กำลังคน)%20%5d/SBP%20Employee%20Management%20(กำลังคน)/LLDD_EMLSB/TSM-HRM-LLDD_EMLSB_InboundOAS.docx?csf=1&amp;web=1&amp;e=1D3Ret</t>
        </is>
      </c>
      <c r="G117" s="14" t="inlineStr">
        <is>
          <t>EML-SB</t>
        </is>
      </c>
      <c r="H117" s="3" t="inlineStr">
        <is>
          <t>Not Start</t>
        </is>
      </c>
      <c r="I117" s="48" t="n">
        <v>0</v>
      </c>
      <c r="J117" s="3">
        <f>IF(H117="Done","Done",
   IF(L117=TODAY(),"Due",
      IF(L117&lt;TODAY(),"Overdue",
         IF(AND(L117&gt;TODAY(),L117&lt;=TODAY()+5),"Upcoming","OnTrack"))))</f>
        <v/>
      </c>
      <c r="K117" s="19" t="inlineStr">
        <is>
          <t>Chootima &lt;Fern&gt; P.</t>
        </is>
      </c>
      <c r="L117" s="42" t="n"/>
      <c r="M117" s="13" t="n"/>
      <c r="N117" s="9" t="n"/>
      <c r="O117" s="3" t="n"/>
      <c r="P117" s="48" t="n"/>
      <c r="Q117" s="3" t="n"/>
      <c r="R117" s="9" t="n"/>
      <c r="S117" s="42" t="n"/>
      <c r="T117" s="42" t="n"/>
      <c r="U117" s="9" t="n"/>
      <c r="V117" s="3" t="n"/>
      <c r="W117" s="3" t="n"/>
      <c r="X117" s="3" t="n"/>
      <c r="Y117" s="35" t="n"/>
    </row>
    <row r="118" ht="100.5" customHeight="1">
      <c r="A118" s="3" t="n">
        <v>37</v>
      </c>
      <c r="B118" s="3" t="n"/>
      <c r="C118" s="4" t="n"/>
      <c r="D118" s="103" t="inlineStr">
        <is>
          <t>Inbound SBPMall StorePartner &amp; ผู้ช่วย</t>
        </is>
      </c>
      <c r="E118" s="27" t="inlineStr">
        <is>
          <t>Link</t>
        </is>
      </c>
      <c r="F118" s="3" t="inlineStr">
        <is>
          <t>https://cpallgroup.sharepoint.com/:f:/r/sites/MST-GO0666ITHW2025ReplaceSBPManagementSystem/Shared%20Documents/General/04-Analysis%20%26%20Design/LLDD/Non-Baseline/_Review%20%26%20Approve/SBP%20Evaluation%20Management/%E0%B8%99%E0%B8%B3%E0%B9%80%E0%B8%82%E0%B9%89%E0%B8%B2%E0%B8%84%E0%B8%B0%E0%B9%81%E0%B8%99%E0%B8%99%20Premium%20(%E0%B9%80%E0%B8%A1%E0%B8%99%E0%B8%B9%E0%B8%99%E0%B8%B3%E0%B9%80%E0%B8%82%E0%B9%89%E0%B8%B2%E0%B8%82%E0%B9%89%E0%B8%AD%E0%B8%A1%E0%B8%B9%E0%B8%A5%E0%B8%A3%E0%B8%B0%E0%B8%9A%E0%B8%9A)?csf=1&amp;web=1&amp;e=tjDpKz</t>
        </is>
      </c>
      <c r="G118" s="14" t="inlineStr">
        <is>
          <t>EML-SB</t>
        </is>
      </c>
      <c r="H118" s="22" t="inlineStr">
        <is>
          <t>Done</t>
        </is>
      </c>
      <c r="I118" s="47" t="n">
        <v>1</v>
      </c>
      <c r="J118" s="3">
        <f>IF(H118="Done","Done",
   IF(L118=TODAY(),"Due",
      IF(L118&lt;TODAY(),"Overdue",
         IF(AND(L118&gt;TODAY(),L118&lt;=TODAY()+5),"Upcoming","OnTrack"))))</f>
        <v/>
      </c>
      <c r="K118" s="96" t="inlineStr">
        <is>
          <t>Chootima &lt;Fern&gt; P.</t>
        </is>
      </c>
      <c r="L118" s="13" t="n">
        <v>46036</v>
      </c>
      <c r="M118" s="60" t="n">
        <v>46036</v>
      </c>
      <c r="N118" s="13" t="n">
        <v>46036</v>
      </c>
      <c r="O118" s="22" t="inlineStr">
        <is>
          <t>Done</t>
        </is>
      </c>
      <c r="P118" s="48" t="n">
        <v>1</v>
      </c>
      <c r="Q118" s="3">
        <f>IF(O118="Not Start","Not Start",
   IF(AND(O118="Done",U118&gt;T118),"Done with Overdue",
      IF(O118="Done","Done",
         IF(T118=TODAY(),"Due",
            IF(T118&lt;TODAY(),"Overdue",
               IF(AND(T118&gt;TODAY(),T118&lt;=TODAY()+5),"Upcoming","On Track"))))))</f>
        <v/>
      </c>
      <c r="R118" s="3" t="inlineStr">
        <is>
          <t>Suphachai &lt;To&gt; S.</t>
        </is>
      </c>
      <c r="S118" s="13" t="n">
        <v>46043</v>
      </c>
      <c r="T118" s="13" t="n">
        <v>46043</v>
      </c>
      <c r="U118" s="13" t="n">
        <v>46038</v>
      </c>
      <c r="V118" s="13" t="n">
        <v>46013</v>
      </c>
      <c r="W118" s="13" t="n">
        <v>46122</v>
      </c>
      <c r="X118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
22/01/2026 : ฆำพอรแำ ส่งแก้ไขตาม Comment</t>
        </is>
      </c>
      <c r="Y118" s="35" t="n"/>
    </row>
    <row r="119" ht="87.75" customHeight="1">
      <c r="A119" s="3" t="n">
        <v>37</v>
      </c>
      <c r="B119" s="3" t="n"/>
      <c r="C119" s="4" t="n"/>
      <c r="D119" s="103" t="inlineStr">
        <is>
          <t>Inbound MMS New</t>
        </is>
      </c>
      <c r="E119" s="27" t="inlineStr">
        <is>
          <t>Link</t>
        </is>
      </c>
      <c r="F119" s="3" t="inlineStr">
        <is>
          <t>https://cpallgroup.sharepoint.com/:f:/r/sites/MST-GO0666ITHW2025ReplaceSBPManagementSystem/Shared%20Documents/General/04-Analysis%20%26%20Design/LLDD/Non-Baseline/_Review%20%26%20Approve/SBP%20Evaluation%20Management/%E0%B8%99%E0%B8%B3%E0%B9%80%E0%B8%82%E0%B9%89%E0%B8%B2%E0%B8%84%E0%B8%B0%E0%B9%81%E0%B8%99%E0%B8%99%20Premium%20(%E0%B9%80%E0%B8%A1%E0%B8%99%E0%B8%B9%E0%B8%99%E0%B8%B3%E0%B9%80%E0%B8%82%E0%B9%89%E0%B8%B2%E0%B8%82%E0%B9%89%E0%B8%AD%E0%B8%A1%E0%B8%B9%E0%B8%A5%E0%B8%A3%E0%B8%B0%E0%B8%9A%E0%B8%9A)?csf=1&amp;web=1&amp;e=tjDpKz</t>
        </is>
      </c>
      <c r="G119" s="14" t="inlineStr">
        <is>
          <t>EML-SB</t>
        </is>
      </c>
      <c r="H119" s="22" t="inlineStr">
        <is>
          <t>Done</t>
        </is>
      </c>
      <c r="I119" s="47" t="n">
        <v>1</v>
      </c>
      <c r="J119" s="3">
        <f>IF(H119="Done","Done",
   IF(L119=TODAY(),"Due",
      IF(L119&lt;TODAY(),"Overdue",
         IF(AND(L119&gt;TODAY(),L119&lt;=TODAY()+5),"Upcoming","OnTrack"))))</f>
        <v/>
      </c>
      <c r="K119" s="96" t="inlineStr">
        <is>
          <t>Chootima &lt;Fern&gt; P.</t>
        </is>
      </c>
      <c r="L119" s="13" t="n">
        <v>46028</v>
      </c>
      <c r="M119" s="60" t="n">
        <v>46029</v>
      </c>
      <c r="N119" s="13" t="n">
        <v>46030</v>
      </c>
      <c r="O119" s="22" t="inlineStr">
        <is>
          <t>Done</t>
        </is>
      </c>
      <c r="P119" s="48" t="n">
        <v>1</v>
      </c>
      <c r="Q119" s="3">
        <f>IF(O119="Not Start","Not Start",
   IF(AND(O119="Done",U119&gt;T119),"Done with Overdue",
      IF(O119="Done","Done",
         IF(T119=TODAY(),"Due",
            IF(T119&lt;TODAY(),"Overdue",
               IF(AND(T119&gt;TODAY(),T119&lt;=TODAY()+5),"Upcoming","On Track"))))))</f>
        <v/>
      </c>
      <c r="R119" s="3" t="inlineStr">
        <is>
          <t>Suphachai &lt;To&gt; S.</t>
        </is>
      </c>
      <c r="S119" s="13" t="n">
        <v>45999</v>
      </c>
      <c r="T119" s="59" t="n">
        <v>46037</v>
      </c>
      <c r="U119" s="13" t="n">
        <v>46038</v>
      </c>
      <c r="V119" s="13" t="n">
        <v>46013</v>
      </c>
      <c r="W119" s="13" t="n">
        <v>46122</v>
      </c>
      <c r="X119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</t>
        </is>
      </c>
      <c r="Y119" s="35" t="n"/>
    </row>
    <row r="120" ht="87.75" customHeight="1">
      <c r="A120" s="3" t="n">
        <v>37</v>
      </c>
      <c r="B120" s="3" t="n"/>
      <c r="C120" s="4" t="n"/>
      <c r="D120" s="103" t="inlineStr">
        <is>
          <t>Outbound EML</t>
        </is>
      </c>
      <c r="E120" s="27" t="inlineStr">
        <is>
          <t>Link</t>
        </is>
      </c>
      <c r="F120" s="3" t="inlineStr">
        <is>
          <t>https://cpallgroup.sharepoint.com/:f:/r/sites/MST-GO0666ITHW2025ReplaceSBPManagementSystem/Shared%20Documents/General/04-Analysis%20%26%20Design/LLDD/Non-Baseline/_Review%20%26%20Approve/SBP%20Evaluation%20Management/%E0%B8%99%E0%B8%B3%E0%B9%80%E0%B8%82%E0%B9%89%E0%B8%B2%E0%B8%84%E0%B8%B0%E0%B9%81%E0%B8%99%E0%B8%99%20Premium%20(%E0%B9%80%E0%B8%A1%E0%B8%99%E0%B8%B9%E0%B8%99%E0%B8%B3%E0%B9%80%E0%B8%82%E0%B9%89%E0%B8%B2%E0%B8%82%E0%B9%89%E0%B8%AD%E0%B8%A1%E0%B8%B9%E0%B8%A5%E0%B8%A3%E0%B8%B0%E0%B8%9A%E0%B8%9A)?csf=1&amp;web=1&amp;e=tjDpKz</t>
        </is>
      </c>
      <c r="G120" s="14" t="inlineStr">
        <is>
          <t>EML-SB</t>
        </is>
      </c>
      <c r="H120" s="22" t="inlineStr">
        <is>
          <t>Done</t>
        </is>
      </c>
      <c r="I120" s="47" t="n">
        <v>1</v>
      </c>
      <c r="J120" s="3">
        <f>IF(H120="Done","Done",
   IF(L120=TODAY(),"Due",
      IF(L120&lt;TODAY(),"Overdue",
         IF(AND(L120&gt;TODAY(),L120&lt;=TODAY()+5),"Upcoming","OnTrack"))))</f>
        <v/>
      </c>
      <c r="K120" s="19" t="inlineStr">
        <is>
          <t>Chootima &lt;Fern&gt; P.</t>
        </is>
      </c>
      <c r="L120" s="43" t="n">
        <v>45989</v>
      </c>
      <c r="M120" s="63" t="n">
        <v>45987</v>
      </c>
      <c r="N120" s="13" t="n">
        <v>45992</v>
      </c>
      <c r="O120" s="22" t="inlineStr">
        <is>
          <t>Done</t>
        </is>
      </c>
      <c r="P120" s="48" t="n">
        <v>1</v>
      </c>
      <c r="Q120" s="3">
        <f>IF(O120="Not Start","Not Start",
   IF(AND(O120="Done",U120&gt;T120),"Done with Overdue",
      IF(O120="Done","Done",
         IF(T120=TODAY(),"Due",
            IF(T120&lt;TODAY(),"Overdue",
               IF(AND(T120&gt;TODAY(),T120&lt;=TODAY()+5),"Upcoming","On Track"))))))</f>
        <v/>
      </c>
      <c r="R120" s="3" t="inlineStr">
        <is>
          <t>Suphachai &lt;To&gt; S.</t>
        </is>
      </c>
      <c r="S120" s="13" t="n">
        <v>45999</v>
      </c>
      <c r="T120" s="13" t="n">
        <v>45999</v>
      </c>
      <c r="U120" s="13" t="n">
        <v>46038</v>
      </c>
      <c r="V120" s="13" t="n">
        <v>46013</v>
      </c>
      <c r="W120" s="13" t="n">
        <v>46122</v>
      </c>
      <c r="X120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</t>
        </is>
      </c>
      <c r="Y120" s="35" t="n"/>
    </row>
    <row r="121" ht="87.75" customHeight="1">
      <c r="A121" s="3" t="n">
        <v>38</v>
      </c>
      <c r="B121" s="3" t="n"/>
      <c r="C121" s="4" t="n"/>
      <c r="D121" s="103" t="inlineStr">
        <is>
          <t>Outbound STM</t>
        </is>
      </c>
      <c r="E121" s="27" t="inlineStr">
        <is>
          <t>Link</t>
        </is>
      </c>
      <c r="F121" s="3" t="n"/>
      <c r="G121" s="14" t="inlineStr">
        <is>
          <t>EML-SB</t>
        </is>
      </c>
      <c r="H121" s="22" t="inlineStr">
        <is>
          <t>Done</t>
        </is>
      </c>
      <c r="I121" s="47" t="n">
        <v>1</v>
      </c>
      <c r="J121" s="3">
        <f>IF(H121="Done","Done",
   IF(L121=TODAY(),"Due",
      IF(L121&lt;TODAY(),"Overdue",
         IF(AND(L121&gt;TODAY(),L121&lt;=TODAY()+5),"Upcoming","OnTrack"))))</f>
        <v/>
      </c>
      <c r="K121" s="19" t="inlineStr">
        <is>
          <t>Chootima &lt;Fern&gt; P.</t>
        </is>
      </c>
      <c r="L121" s="13" t="n">
        <v>45989</v>
      </c>
      <c r="M121" s="63" t="n">
        <v>45988</v>
      </c>
      <c r="N121" s="13" t="n">
        <v>45992</v>
      </c>
      <c r="O121" s="22" t="inlineStr">
        <is>
          <t>Done</t>
        </is>
      </c>
      <c r="P121" s="48" t="n">
        <v>1</v>
      </c>
      <c r="Q121" s="3">
        <f>IF(O121="Not Start","Not Start",
   IF(AND(O121="Done",U121&gt;T121),"Done with Overdue",
      IF(O121="Done","Done",
         IF(T121=TODAY(),"Due",
            IF(T121&lt;TODAY(),"Overdue",
               IF(AND(T121&gt;TODAY(),T121&lt;=TODAY()+5),"Upcoming","On Track"))))))</f>
        <v/>
      </c>
      <c r="R121" s="3" t="inlineStr">
        <is>
          <t>Suphachai &lt;To&gt; S.</t>
        </is>
      </c>
      <c r="S121" s="13" t="n">
        <v>45999</v>
      </c>
      <c r="T121" s="13" t="n">
        <v>45999</v>
      </c>
      <c r="U121" s="13" t="n">
        <v>46038</v>
      </c>
      <c r="V121" s="13" t="n">
        <v>46013</v>
      </c>
      <c r="W121" s="13" t="n">
        <v>46122</v>
      </c>
      <c r="X121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</t>
        </is>
      </c>
      <c r="Y121" s="35" t="inlineStr">
        <is>
          <t>https://cpallgroup.sharepoint.com/:f:/r/sites/MST-GO0666ITHW2025ReplaceSBPManagementSystem/Shared%20Documents/General/04-Analysis%20%26%20Design/LLDD/Non-Baseline/_Review%20%26%20Approve/SBP%20Evaluation%20Management/Feedback?csf=1&amp;web=1&amp;e=Zou5CX</t>
        </is>
      </c>
    </row>
    <row r="122" ht="87.75" customHeight="1">
      <c r="A122" s="3" t="n">
        <v>39</v>
      </c>
      <c r="B122" s="3" t="n"/>
      <c r="C122" s="4" t="n"/>
      <c r="D122" s="103" t="inlineStr">
        <is>
          <t>Outbound LAM</t>
        </is>
      </c>
      <c r="E122" s="27" t="inlineStr">
        <is>
          <t>Link</t>
        </is>
      </c>
      <c r="F122" s="3" t="n"/>
      <c r="G122" s="14" t="inlineStr">
        <is>
          <t>EML-SB</t>
        </is>
      </c>
      <c r="H122" s="22" t="inlineStr">
        <is>
          <t>Done</t>
        </is>
      </c>
      <c r="I122" s="47" t="n">
        <v>1</v>
      </c>
      <c r="J122" s="3">
        <f>IF(H122="Done","Done",
   IF(L122=TODAY(),"Due",
      IF(L122&lt;TODAY(),"Overdue",
         IF(AND(L122&gt;TODAY(),L122&lt;=TODAY()+5),"Upcoming","OnTrack"))))</f>
        <v/>
      </c>
      <c r="K122" s="19" t="inlineStr">
        <is>
          <t>Chootima &lt;Fern&gt; P.</t>
        </is>
      </c>
      <c r="L122" s="13" t="n">
        <v>45989</v>
      </c>
      <c r="M122" s="63" t="n">
        <v>45988</v>
      </c>
      <c r="N122" s="13" t="n">
        <v>45992</v>
      </c>
      <c r="O122" s="22" t="inlineStr">
        <is>
          <t>Done</t>
        </is>
      </c>
      <c r="P122" s="48" t="n">
        <v>1</v>
      </c>
      <c r="Q122" s="3">
        <f>IF(O122="Not Start","Not Start",
   IF(AND(O122="Done",U122&gt;T122),"Done with Overdue",
      IF(O122="Done","Done",
         IF(T122=TODAY(),"Due",
            IF(T122&lt;TODAY(),"Overdue",
               IF(AND(T122&gt;TODAY(),T122&lt;=TODAY()+5),"Upcoming","On Track"))))))</f>
        <v/>
      </c>
      <c r="R122" s="3" t="inlineStr">
        <is>
          <t>Suphachai &lt;To&gt; S.</t>
        </is>
      </c>
      <c r="S122" s="13" t="n">
        <v>45999</v>
      </c>
      <c r="T122" s="13" t="n">
        <v>45999</v>
      </c>
      <c r="U122" s="13" t="n">
        <v>46038</v>
      </c>
      <c r="V122" s="13" t="n">
        <v>46013</v>
      </c>
      <c r="W122" s="13" t="n">
        <v>46122</v>
      </c>
      <c r="X122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</t>
        </is>
      </c>
      <c r="Y122" s="35" t="inlineStr">
        <is>
          <t>https://cpallgroup.sharepoint.com/:x:/r/sites/MST-GO0666ITHW2025ReplaceSBPManagementSystem/Shared%20Documents/General/04-Analysis%20%26%20Design/LLDD/Non-Baseline/Phase%203%20%5bContract%20Management,%20Store%20Partner%20Management,%20SBP%20Employee%20Management%20(กำลังคน)%20%5d/Store%20Partner%20Management/TSM-0666-LLDD%20หน้าจอ%20จัดการรายชื่อ%20Blacklist.xlsx?csf=1&amp;web=1&amp;e=Zou5CX</t>
        </is>
      </c>
    </row>
    <row r="123" hidden="1" ht="70.5" customHeight="1">
      <c r="A123" s="3" t="n">
        <v>40</v>
      </c>
      <c r="B123" s="3" t="n"/>
      <c r="C123" s="4" t="n"/>
      <c r="D123" s="103" t="inlineStr">
        <is>
          <t>Outbound COU</t>
        </is>
      </c>
      <c r="E123" s="27" t="inlineStr">
        <is>
          <t>Link</t>
        </is>
      </c>
      <c r="F123" s="3" t="n"/>
      <c r="G123" s="14" t="inlineStr">
        <is>
          <t>EML-SB</t>
        </is>
      </c>
      <c r="H123" s="22" t="inlineStr">
        <is>
          <t>Done</t>
        </is>
      </c>
      <c r="I123" s="47" t="n">
        <v>1</v>
      </c>
      <c r="J123" s="3">
        <f>IF(H123="Done","Done",
   IF(L123=TODAY(),"Due",
      IF(L123&lt;TODAY(),"Overdue",
         IF(AND(L123&gt;TODAY(),L123&lt;=TODAY()+5),"Upcoming","OnTrack"))))</f>
        <v/>
      </c>
      <c r="K123" s="19" t="inlineStr">
        <is>
          <t>Chootima &lt;Fern&gt; P.</t>
        </is>
      </c>
      <c r="L123" s="13" t="n">
        <v>45989</v>
      </c>
      <c r="M123" s="13" t="n">
        <v>45988</v>
      </c>
      <c r="N123" s="43" t="n">
        <v>45992</v>
      </c>
      <c r="O123" s="22" t="inlineStr">
        <is>
          <t>Done</t>
        </is>
      </c>
      <c r="P123" s="48" t="n">
        <v>1</v>
      </c>
      <c r="Q123" s="3">
        <f>IF(O123="Not Start","Not Start",
   IF(AND(O123="Done",U123&gt;T123),"Done with Overdue",
      IF(O123="Done","Done",
         IF(T123=TODAY(),"Due",
            IF(T123&lt;TODAY(),"Overdue",
               IF(AND(T123&gt;TODAY(),T123&lt;=TODAY()+5),"Upcoming","On Track"))))))</f>
        <v/>
      </c>
      <c r="R123" s="3" t="inlineStr">
        <is>
          <t>Suphachai &lt;To&gt; S.</t>
        </is>
      </c>
      <c r="S123" s="13" t="n">
        <v>45999</v>
      </c>
      <c r="T123" s="13" t="n">
        <v>45999</v>
      </c>
      <c r="U123" s="13" t="n">
        <v>46038</v>
      </c>
      <c r="V123" s="13" t="n">
        <v>46013</v>
      </c>
      <c r="W123" s="13" t="n">
        <v>46122</v>
      </c>
      <c r="X123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
22/01/2026 : ฆำพอรแำ ส่งแก้ไขตาม Comment</t>
        </is>
      </c>
      <c r="Y123" s="35" t="inlineStr">
        <is>
          <t>https://cpallgroup.sharepoint.com/:f:/r/sites/MST-GO0666ITHW2025ReplaceSBPManagementSystem/Shared%20Documents/General/04-Analysis%20%26%20Design/LLDD/Non-Baseline/_Review%20%26%20Approve/SBP%20Evaluation%20Management/Feedback?csf=1&amp;web=1&amp;e=Zou5CX</t>
        </is>
      </c>
    </row>
    <row r="124" hidden="1" ht="100.5" customHeight="1">
      <c r="A124" s="3" t="n">
        <v>41</v>
      </c>
      <c r="B124" s="3" t="n"/>
      <c r="C124" s="4" t="n"/>
      <c r="D124" s="103" t="inlineStr">
        <is>
          <t>Outbound GSD</t>
        </is>
      </c>
      <c r="E124" s="27" t="inlineStr">
        <is>
          <t>Link</t>
        </is>
      </c>
      <c r="F124" s="3" t="n"/>
      <c r="G124" s="14" t="inlineStr">
        <is>
          <t>EML-SB</t>
        </is>
      </c>
      <c r="H124" s="22" t="inlineStr">
        <is>
          <t>Done</t>
        </is>
      </c>
      <c r="I124" s="47" t="n">
        <v>1</v>
      </c>
      <c r="J124" s="3">
        <f>IF(H124="Done","Done",
   IF(L124=TODAY(),"Due",
      IF(L124&lt;TODAY(),"Overdue",
         IF(AND(L124&gt;TODAY(),L124&lt;=TODAY()+5),"Upcoming","OnTrack"))))</f>
        <v/>
      </c>
      <c r="K124" s="19" t="inlineStr">
        <is>
          <t>Chootima &lt;Fern&gt; P.</t>
        </is>
      </c>
      <c r="L124" s="13" t="n">
        <v>45989</v>
      </c>
      <c r="M124" s="13" t="n">
        <v>45988</v>
      </c>
      <c r="N124" s="13" t="n">
        <v>45992</v>
      </c>
      <c r="O124" s="22" t="inlineStr">
        <is>
          <t>Done</t>
        </is>
      </c>
      <c r="P124" s="48" t="n">
        <v>1</v>
      </c>
      <c r="Q124" s="3">
        <f>IF(O124="Not Start","Not Start",
   IF(AND(O124="Done",U124&gt;T124),"Done with Overdue",
      IF(O124="Done","Done",
         IF(T124=TODAY(),"Due",
            IF(T124&lt;TODAY(),"Overdue",
               IF(AND(T124&gt;TODAY(),T124&lt;=TODAY()+5),"Upcoming","On Track"))))))</f>
        <v/>
      </c>
      <c r="R124" s="3" t="inlineStr">
        <is>
          <t>Suphachai &lt;To&gt; S.</t>
        </is>
      </c>
      <c r="S124" s="13" t="n">
        <v>45999</v>
      </c>
      <c r="T124" s="13" t="n">
        <v>45999</v>
      </c>
      <c r="U124" s="13" t="n">
        <v>46038</v>
      </c>
      <c r="V124" s="13" t="n">
        <v>46013</v>
      </c>
      <c r="W124" s="13" t="n">
        <v>46122</v>
      </c>
      <c r="X124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
22/01/2026 : ฆำพอรแำ ส่งแก้ไขตาม Comment</t>
        </is>
      </c>
      <c r="Y124" s="35" t="inlineStr">
        <is>
          <t>https://cpallgroup.sharepoint.com/:f:/r/sites/MST-GO0666ITHW2025ReplaceSBPManagementSystem/Shared%20Documents/General/04-Analysis%20%26%20Design/LLDD/Non-Baseline/_Review%20%26%20Approve/SBP%20Evaluation%20Management/Feedback?csf=1&amp;web=1&amp;e=Zou5CX</t>
        </is>
      </c>
    </row>
    <row r="125" hidden="1" ht="87.75" customHeight="1">
      <c r="A125" s="3" t="n">
        <v>42</v>
      </c>
      <c r="B125" s="3" t="n"/>
      <c r="C125" s="4" t="n"/>
      <c r="D125" s="103" t="inlineStr">
        <is>
          <t>Outbound Panyatara</t>
        </is>
      </c>
      <c r="E125" s="27" t="inlineStr">
        <is>
          <t>Link</t>
        </is>
      </c>
      <c r="F125" s="3" t="n"/>
      <c r="G125" s="14" t="inlineStr">
        <is>
          <t>EML-SB</t>
        </is>
      </c>
      <c r="H125" s="22" t="inlineStr">
        <is>
          <t>Done</t>
        </is>
      </c>
      <c r="I125" s="47" t="n">
        <v>1</v>
      </c>
      <c r="J125" s="3">
        <f>IF(H125="Done","Done",
   IF(L125=TODAY(),"Due",
      IF(L125&lt;TODAY(),"Overdue",
         IF(AND(L125&gt;TODAY(),L125&lt;=TODAY()+5),"Upcoming","OnTrack"))))</f>
        <v/>
      </c>
      <c r="K125" s="19" t="inlineStr">
        <is>
          <t>Chootima &lt;Fern&gt; P.</t>
        </is>
      </c>
      <c r="L125" s="13" t="n">
        <v>45989</v>
      </c>
      <c r="M125" s="13" t="n">
        <v>45989</v>
      </c>
      <c r="N125" s="13" t="n">
        <v>45992</v>
      </c>
      <c r="O125" s="22" t="inlineStr">
        <is>
          <t>Done</t>
        </is>
      </c>
      <c r="P125" s="48" t="n">
        <v>1</v>
      </c>
      <c r="Q125" s="3">
        <f>IF(O125="Not Start","Not Start",
   IF(AND(O125="Done",U125&gt;T125),"Done with Overdue",
      IF(O125="Done","Done",
         IF(T125=TODAY(),"Due",
            IF(T125&lt;TODAY(),"Overdue",
               IF(AND(T125&gt;TODAY(),T125&lt;=TODAY()+5),"Upcoming","On Track"))))))</f>
        <v/>
      </c>
      <c r="R125" s="3" t="inlineStr">
        <is>
          <t>Suphachai &lt;To&gt; S.</t>
        </is>
      </c>
      <c r="S125" s="13" t="n">
        <v>45999</v>
      </c>
      <c r="T125" s="13" t="n">
        <v>45999</v>
      </c>
      <c r="U125" s="13" t="n">
        <v>46038</v>
      </c>
      <c r="V125" s="13" t="n">
        <v>46013</v>
      </c>
      <c r="W125" s="13" t="n">
        <v>46122</v>
      </c>
      <c r="X125" s="106" t="inlineStr">
        <is>
          <t>16/01/2026 : ขอข้อมูลเพิ่ม
ได้คุยรายละเอียดกับคุณเฟิร์นแล้ว ขอให้ review เรื่อง
-STC ไม่ผ่าน EAI-S3
-Review เอกสารอีกครั้ง เรื่องการใช้ Rabbit ที่ไม่ต้องใช้แล้ว
-ขอให้ใส่ข้อมูลเรื่อง Component การทำงาน และ Batch ทำงานอย่างไร
-ปรับแก้ Sequence diagram เพิ่มข้อมูลเรื่องการ handle 
Solar มีคุยกับทาง Srevice  ในเบื้องต้นแล้ว อยู่ระหว่างส่งเอกสารให้ทาง Service</t>
        </is>
      </c>
      <c r="Y125" s="35" t="inlineStr">
        <is>
          <t>https://cpallgroup.sharepoint.com/:f:/r/sites/MST-GO0666ITHW2025ReplaceSBPManagementSystem/Shared%20Documents/General/04-Analysis%20%26%20Design/LLDD/Non-Baseline/_Review%20%26%20Approve/SBP%20Evaluation%20Management/Feedback?csf=1&amp;web=1&amp;e=Zou5CX</t>
        </is>
      </c>
    </row>
    <row r="126" ht="15" customHeight="1">
      <c r="A126" s="3" t="n"/>
      <c r="B126" s="3" t="n"/>
      <c r="C126" s="127" t="n"/>
      <c r="D126" s="128" t="inlineStr">
        <is>
          <t>WFD-SB (ยืนยันกำลังคน)</t>
        </is>
      </c>
      <c r="E126" s="3" t="inlineStr">
        <is>
          <t>https://cpallgroup.sharepoint.com/:w:/r/sites/MST-GO0666ITHW2025ReplaceSBPManagementSystem/Shared%20Documents/General/04-Analysis%20%26%20Design/LLDD/Non-Baseline/Phase%201%20%5BSBP%20Mall%20Portal,SBP%20Evaluation%20Management,SBP%20Operating%20Management%20(Store%20Performance,Statement)%5D/SBP%20Evaluation%20Management/TSM-GO0666-LLDD-%E0%B9%83%E0%B8%9A%E0%B8%AA%E0%B8%A3%E0%B8%B8%E0%B8%9B%E0%B9%80%E0%B8%81%E0%B8%A3%E0%B8%94%20-1.0.docx?d=w216a7278786b4bea98936bc757cf651e&amp;csf=1&amp;web=1&amp;e=P0xlCn</t>
        </is>
      </c>
      <c r="F126" s="3" t="n"/>
      <c r="G126" s="3" t="n"/>
      <c r="H126" s="3" t="n"/>
      <c r="I126" s="45">
        <f>(SUM(I127:I135)/9)</f>
        <v/>
      </c>
      <c r="J126" s="3" t="n"/>
      <c r="K126" s="3" t="n"/>
      <c r="L126" s="13" t="n"/>
      <c r="M126" s="13" t="n"/>
      <c r="N126" s="3" t="n"/>
      <c r="O126" s="3" t="n"/>
      <c r="P126" s="45" t="n"/>
      <c r="Q126" s="3" t="n"/>
      <c r="R126" s="3" t="n"/>
      <c r="S126" s="42" t="n"/>
      <c r="T126" s="42" t="n"/>
      <c r="U126" s="3" t="n"/>
      <c r="V126" s="9" t="n"/>
      <c r="W126" s="9" t="n"/>
      <c r="X126" s="3" t="n"/>
      <c r="Y126" s="35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กำลังคน)%20%5d/SBP%20Employee%20Management%20(กำลังคน)/LLDD_WFDSB/TSM-HRM-LLDD_WFDSB_OutboundSTA-1.0.docx?csf=1&amp;web=1&amp;e=Zou5CX</t>
        </is>
      </c>
    </row>
    <row r="127" ht="15" customHeight="1">
      <c r="A127" s="3" t="n">
        <v>43</v>
      </c>
      <c r="B127" s="3" t="n"/>
      <c r="C127" s="4" t="n"/>
      <c r="D127" s="107" t="inlineStr">
        <is>
          <t>Inbound STM ข้อมูล clock</t>
        </is>
      </c>
      <c r="E127" s="27" t="inlineStr">
        <is>
          <t>Link</t>
        </is>
      </c>
      <c r="F127" s="3" t="n"/>
      <c r="G127" s="14" t="inlineStr">
        <is>
          <t>WFD-SB</t>
        </is>
      </c>
      <c r="H127" s="22" t="inlineStr">
        <is>
          <t>Done</t>
        </is>
      </c>
      <c r="I127" s="47" t="n">
        <v>1</v>
      </c>
      <c r="J127" s="3">
        <f>IF(H127="Done","Done",
   IF(L127=TODAY(),"Due",
      IF(L127&lt;TODAY(),"Overdue",
         IF(AND(L127&gt;TODAY(),L127&lt;=TODAY()+5),"Upcoming","OnTrack"))))</f>
        <v/>
      </c>
      <c r="K127" s="19" t="inlineStr">
        <is>
          <t>Chootima &lt;Fern&gt; P.</t>
        </is>
      </c>
      <c r="L127" s="13" t="n">
        <v>46031</v>
      </c>
      <c r="M127" s="42" t="n">
        <v>46038</v>
      </c>
      <c r="N127" s="42" t="n">
        <v>46041</v>
      </c>
      <c r="O127" s="22" t="inlineStr">
        <is>
          <t>Done</t>
        </is>
      </c>
      <c r="P127" s="48" t="n">
        <v>1</v>
      </c>
      <c r="Q127" s="3">
        <f>IF(O127="Not Start","Not Start",
   IF(AND(O127="Done",U127&gt;T127),"Done with Overdue",
      IF(O127="Done","Done",
         IF(T127=TODAY(),"Due",
            IF(T127&lt;TODAY(),"Overdue",
               IF(AND(T127&gt;TODAY(),T127&lt;=TODAY()+5),"Upcoming","On Track"))))))</f>
        <v/>
      </c>
      <c r="R127" s="10" t="inlineStr">
        <is>
          <t>Suphachai &lt;To&gt; S.</t>
        </is>
      </c>
      <c r="S127" s="13" t="n">
        <v>46045</v>
      </c>
      <c r="T127" s="13" t="n">
        <v>46045</v>
      </c>
      <c r="U127" s="95" t="n">
        <v>46066</v>
      </c>
      <c r="V127" s="13" t="n">
        <v>46062</v>
      </c>
      <c r="W127" s="13" t="n">
        <v>46192</v>
      </c>
      <c r="X127" s="106" t="inlineStr">
        <is>
          <t>19/01/2026 : ฆำพอรแำ ส่งแก้ไขตาม Comment</t>
        </is>
      </c>
      <c r="Y127" s="35" t="inlineStr">
        <is>
          <t>https://cpallgroup.sharepoint.com/:f:/r/sites/MST-GO0666ITHW2025ReplaceSBPManagementSystem/Shared%20Documents/General/04-Analysis%20%26%20Design/LLDD/Non-Baseline/Integration/STA?csf=1&amp;web=1&amp;e=Zou5CX</t>
        </is>
      </c>
    </row>
    <row r="128" ht="15" customHeight="1">
      <c r="A128" s="3" t="n">
        <v>44</v>
      </c>
      <c r="B128" s="3" t="n"/>
      <c r="C128" s="4" t="n"/>
      <c r="D128" s="103" t="inlineStr">
        <is>
          <t>Inbound IAS-AMS ข้อมูลยอดขายร้าน</t>
        </is>
      </c>
      <c r="E128" s="27" t="inlineStr">
        <is>
          <t>Link</t>
        </is>
      </c>
      <c r="F128" s="3" t="n"/>
      <c r="G128" s="14" t="inlineStr">
        <is>
          <t>WFD-SB</t>
        </is>
      </c>
      <c r="H128" s="22" t="inlineStr">
        <is>
          <t>Done</t>
        </is>
      </c>
      <c r="I128" s="47" t="n">
        <v>1</v>
      </c>
      <c r="J128" s="3">
        <f>IF(H128="Done","Done",
   IF(L128=TODAY(),"Due",
      IF(L128&lt;TODAY(),"Overdue",
         IF(AND(L128&gt;TODAY(),L128&lt;=TODAY()+5),"Upcoming","OnTrack"))))</f>
        <v/>
      </c>
      <c r="K128" s="19" t="inlineStr">
        <is>
          <t>Chootima &lt;Fern&gt; P.</t>
        </is>
      </c>
      <c r="L128" s="13" t="n">
        <v>46031</v>
      </c>
      <c r="M128" s="42" t="n">
        <v>46058</v>
      </c>
      <c r="N128" s="42" t="n">
        <v>46058</v>
      </c>
      <c r="O128" s="22" t="inlineStr">
        <is>
          <t>Done</t>
        </is>
      </c>
      <c r="P128" s="48" t="n">
        <v>1</v>
      </c>
      <c r="Q128" s="3">
        <f>IF(O128="Not Start","Not Start",
   IF(AND(O128="Done",U128&gt;T128),"Done with Overdue",
      IF(O128="Done","Done",
         IF(T128=TODAY(),"Due",
            IF(T128&lt;TODAY(),"Overdue",
               IF(AND(T128&gt;TODAY(),T128&lt;=TODAY()+5),"Upcoming","On Track"))))))</f>
        <v/>
      </c>
      <c r="R128" s="10" t="inlineStr">
        <is>
          <t>Suphachai &lt;To&gt; S.</t>
        </is>
      </c>
      <c r="S128" s="13" t="n">
        <v>46066</v>
      </c>
      <c r="T128" s="13" t="n">
        <v>46066</v>
      </c>
      <c r="U128" s="95" t="n">
        <v>46066</v>
      </c>
      <c r="V128" s="13" t="n">
        <v>46062</v>
      </c>
      <c r="W128" s="13" t="n">
        <v>46192</v>
      </c>
      <c r="X128" s="106" t="inlineStr">
        <is>
          <t>19/01/2026 : ฆำพอรแำ ส่งแก้ไขตาม Comment</t>
        </is>
      </c>
      <c r="Y128" s="35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กำลังคน)%20%5d/SBP%20Employee%20Management%20(กำลังคน)/LLDD_WFDSB/TSM-HRM-LLDD_WFDSB_ยืนยันกำลังคน-1.0.docx?csf=1&amp;web=1&amp;e=Zou5CX</t>
        </is>
      </c>
    </row>
    <row r="129" ht="15" customHeight="1">
      <c r="A129" s="3" t="n">
        <v>45</v>
      </c>
      <c r="B129" s="3" t="n"/>
      <c r="C129" s="4" t="n"/>
      <c r="D129" s="31" t="inlineStr">
        <is>
          <t>Outbound STA ไฟล์ +เมล์</t>
        </is>
      </c>
      <c r="E129" s="27" t="inlineStr">
        <is>
          <t>Link</t>
        </is>
      </c>
      <c r="F129" s="3" t="n"/>
      <c r="G129" s="14" t="inlineStr">
        <is>
          <t>WFD-SB</t>
        </is>
      </c>
      <c r="H129" s="22" t="inlineStr">
        <is>
          <t>Done</t>
        </is>
      </c>
      <c r="I129" s="47" t="n">
        <v>1</v>
      </c>
      <c r="J129" s="3">
        <f>IF(H129="Done","Done",
   IF(L129=TODAY(),"Due",
      IF(L129&lt;TODAY(),"Overdue",
         IF(AND(L129&gt;TODAY(),L129&lt;=TODAY()+5),"Upcoming","OnTrack"))))</f>
        <v/>
      </c>
      <c r="K129" s="19" t="inlineStr">
        <is>
          <t>Chootima &lt;Fern&gt; P.</t>
        </is>
      </c>
      <c r="L129" s="13" t="n">
        <v>46035</v>
      </c>
      <c r="M129" s="42" t="n">
        <v>46041</v>
      </c>
      <c r="N129" s="42" t="n">
        <v>46042</v>
      </c>
      <c r="O129" s="21" t="inlineStr">
        <is>
          <t>Process</t>
        </is>
      </c>
      <c r="P129" s="48" t="n">
        <v>0</v>
      </c>
      <c r="Q129" s="3">
        <f>IF(O129="Not Start","Not Start",
   IF(AND(O129="Done",U129&gt;T129),"Done with Overdue",
      IF(O129="Done","Done",
         IF(T129=TODAY(),"Due",
            IF(T129&lt;TODAY(),"Overdue",
               IF(AND(T129&gt;TODAY(),T129&lt;=TODAY()+5),"Upcoming","On Track"))))))</f>
        <v/>
      </c>
      <c r="R129" s="10" t="inlineStr">
        <is>
          <t>Suphachai &lt;To&gt; S.</t>
        </is>
      </c>
      <c r="S129" s="13" t="n">
        <v>46038</v>
      </c>
      <c r="T129" s="13" t="n">
        <v>46045</v>
      </c>
      <c r="U129" s="87" t="n"/>
      <c r="V129" s="13" t="n">
        <v>46062</v>
      </c>
      <c r="W129" s="13" t="n">
        <v>46192</v>
      </c>
      <c r="X129" s="62" t="n"/>
      <c r="Y129" s="35" t="inlineStr">
        <is>
          <t>https://cpallgroup.sharepoint.com/:w:/r/sites/MST-GO0666ITHW2025ReplaceSBPManagementSystem/Shared%20Documents/General/04-Analysis%20%26%20Design/LLDD/Non-Baseline/Phase%203%20%5bContract%20Management,%20Store%20Partner%20Management,%20SBP%20Employee%20Management%20(กำลังคน)%20%5d/SBP%20Employee%20Management%20(กำลังคน)/LLDD_WFDSB/TSM-HRM-LLDD_WFDSB_JobEmail-1.0.docx?csf=1&amp;web=1&amp;e=Zou5CX</t>
        </is>
      </c>
    </row>
    <row r="130" ht="15" customHeight="1">
      <c r="A130" s="3" t="n">
        <v>46</v>
      </c>
      <c r="B130" s="3" t="n"/>
      <c r="C130" s="4" t="n"/>
      <c r="D130" s="31" t="inlineStr">
        <is>
          <t>Outbound HAS-HRART ข้อมูลกำลังคนพนักงานร้าน</t>
        </is>
      </c>
      <c r="E130" s="27" t="inlineStr">
        <is>
          <t>Link</t>
        </is>
      </c>
      <c r="F130" s="3" t="n"/>
      <c r="G130" s="14" t="inlineStr">
        <is>
          <t>WFD-SB</t>
        </is>
      </c>
      <c r="H130" s="22" t="inlineStr">
        <is>
          <t>Done</t>
        </is>
      </c>
      <c r="I130" s="47" t="n">
        <v>1</v>
      </c>
      <c r="J130" s="3">
        <f>IF(H130="Done","Done",
   IF(L130=TODAY(),"Due",
      IF(L130&lt;TODAY(),"Overdue",
         IF(AND(L130&gt;TODAY(),L130&lt;=TODAY()+5),"Upcoming","OnTrack"))))</f>
        <v/>
      </c>
      <c r="K130" s="19" t="inlineStr">
        <is>
          <t>Chootima &lt;Fern&gt; P.</t>
        </is>
      </c>
      <c r="L130" s="13" t="n">
        <v>46037</v>
      </c>
      <c r="M130" s="13" t="n">
        <v>46042</v>
      </c>
      <c r="N130" s="13" t="n">
        <v>46080</v>
      </c>
      <c r="O130" s="21" t="inlineStr">
        <is>
          <t>Process</t>
        </is>
      </c>
      <c r="P130" s="48" t="n">
        <v>0</v>
      </c>
      <c r="Q130" s="3">
        <f>IF(O130="Not Start","Not Start",
   IF(AND(O130="Done",U130&gt;T130),"Done with Overdue",
      IF(O130="Done","Done",
         IF(T130=TODAY(),"Due",
            IF(T130&lt;TODAY(),"Overdue",
               IF(AND(T130&gt;TODAY(),T130&lt;=TODAY()+5),"Upcoming","On Track"))))))</f>
        <v/>
      </c>
      <c r="R130" s="10" t="inlineStr">
        <is>
          <t>Suphachai &lt;To&gt; S.</t>
        </is>
      </c>
      <c r="S130" s="13" t="n">
        <v>46044</v>
      </c>
      <c r="T130" s="13" t="n">
        <v>46087</v>
      </c>
      <c r="U130" s="87" t="n"/>
      <c r="V130" s="13" t="n">
        <v>46062</v>
      </c>
      <c r="W130" s="13" t="n">
        <v>46192</v>
      </c>
      <c r="X130" s="62" t="n"/>
      <c r="Y130" s="35" t="n"/>
    </row>
    <row r="131" ht="15" customHeight="1">
      <c r="A131" s="3" t="n">
        <v>47</v>
      </c>
      <c r="B131" s="3" t="n"/>
      <c r="C131" s="4" t="n"/>
      <c r="D131" s="31" t="inlineStr">
        <is>
          <t>ยืนยันกำลังคน</t>
        </is>
      </c>
      <c r="E131" s="27" t="inlineStr">
        <is>
          <t>Link</t>
        </is>
      </c>
      <c r="F131" s="3" t="n"/>
      <c r="G131" s="14" t="inlineStr">
        <is>
          <t>WFD-SB</t>
        </is>
      </c>
      <c r="H131" s="22" t="inlineStr">
        <is>
          <t>Done</t>
        </is>
      </c>
      <c r="I131" s="47" t="n">
        <v>1</v>
      </c>
      <c r="J131" s="3">
        <f>IF(H131="Done","Done",
   IF(L131=TODAY(),"Due",
      IF(L131&lt;TODAY(),"Overdue",
         IF(AND(L131&gt;TODAY(),L131&lt;=TODAY()+5),"Upcoming","OnTrack"))))</f>
        <v/>
      </c>
      <c r="K131" s="19" t="inlineStr">
        <is>
          <t>Chootima &lt;Fern&gt; P.</t>
        </is>
      </c>
      <c r="L131" s="13" t="n">
        <v>46049</v>
      </c>
      <c r="M131" s="13" t="n">
        <v>46071</v>
      </c>
      <c r="N131" s="13" t="n">
        <v>46080</v>
      </c>
      <c r="O131" s="21" t="inlineStr">
        <is>
          <t>Process</t>
        </is>
      </c>
      <c r="P131" s="48" t="n">
        <v>0</v>
      </c>
      <c r="Q131" s="3">
        <f>IF(O131="Not Start","Not Start",
   IF(AND(O131="Done",U131&gt;T131),"Done with Overdue",
      IF(O131="Done","Done",
         IF(T131=TODAY(),"Due",
            IF(T131&lt;TODAY(),"Overdue",
               IF(AND(T131&gt;TODAY(),T131&lt;=TODAY()+5),"Upcoming","On Track"))))))</f>
        <v/>
      </c>
      <c r="R131" s="10" t="inlineStr">
        <is>
          <t>Suphachai &lt;To&gt; S.</t>
        </is>
      </c>
      <c r="S131" s="13" t="n">
        <v>46087</v>
      </c>
      <c r="T131" s="13" t="n">
        <v>46087</v>
      </c>
      <c r="U131" s="87" t="n"/>
      <c r="V131" s="13" t="n">
        <v>46062</v>
      </c>
      <c r="W131" s="13" t="n">
        <v>46192</v>
      </c>
      <c r="X131" s="62" t="n"/>
      <c r="Y131" s="35" t="n"/>
    </row>
    <row r="132" ht="15" customHeight="1">
      <c r="A132" s="3" t="n">
        <v>48</v>
      </c>
      <c r="B132" s="3" t="n"/>
      <c r="C132" s="4" t="n"/>
      <c r="D132" s="31" t="inlineStr">
        <is>
          <t>ob Auto summary 4 Job</t>
        </is>
      </c>
      <c r="E132" s="27" t="inlineStr">
        <is>
          <t>Link</t>
        </is>
      </c>
      <c r="F132" s="3" t="n"/>
      <c r="G132" s="14" t="inlineStr">
        <is>
          <t>WFD-SB</t>
        </is>
      </c>
      <c r="H132" s="22" t="inlineStr">
        <is>
          <t>Done</t>
        </is>
      </c>
      <c r="I132" s="47" t="n">
        <v>1</v>
      </c>
      <c r="J132" s="3">
        <f>IF(H132="Done","Done",
   IF(L132=TODAY(),"Due",
      IF(L132&lt;TODAY(),"Overdue",
         IF(AND(L132&gt;TODAY(),L132&lt;=TODAY()+5),"Upcoming","OnTrack"))))</f>
        <v/>
      </c>
      <c r="K132" s="19" t="inlineStr">
        <is>
          <t>Chootima &lt;Fern&gt; P.</t>
        </is>
      </c>
      <c r="L132" s="13" t="n">
        <v>46059</v>
      </c>
      <c r="M132" s="13" t="n">
        <v>46071</v>
      </c>
      <c r="N132" s="13" t="n">
        <v>46080</v>
      </c>
      <c r="O132" s="21" t="inlineStr">
        <is>
          <t>Process</t>
        </is>
      </c>
      <c r="P132" s="48" t="n">
        <v>0</v>
      </c>
      <c r="Q132" s="3">
        <f>IF(O132="Not Start","Not Start",
   IF(AND(O132="Done",U132&gt;T132),"Done with Overdue",
      IF(O132="Done","Done",
         IF(T132=TODAY(),"Due",
            IF(T132&lt;TODAY(),"Overdue",
               IF(AND(T132&gt;TODAY(),T132&lt;=TODAY()+5),"Upcoming","On Track"))))))</f>
        <v/>
      </c>
      <c r="R132" s="10" t="inlineStr">
        <is>
          <t>Suphachai &lt;To&gt; S.</t>
        </is>
      </c>
      <c r="S132" s="13" t="n">
        <v>46094</v>
      </c>
      <c r="T132" s="13" t="n">
        <v>46087</v>
      </c>
      <c r="U132" s="87" t="n"/>
      <c r="V132" s="13" t="n">
        <v>46062</v>
      </c>
      <c r="W132" s="13" t="n">
        <v>46192</v>
      </c>
      <c r="X132" s="62" t="n"/>
      <c r="Y132" s="35" t="n"/>
    </row>
    <row r="133" ht="15" customHeight="1">
      <c r="A133" s="3" t="n">
        <v>49</v>
      </c>
      <c r="B133" s="3" t="n"/>
      <c r="C133" s="4" t="n"/>
      <c r="D133" s="31" t="inlineStr">
        <is>
          <t>ติดตามยืนยันกำลังคน</t>
        </is>
      </c>
      <c r="E133" s="27" t="inlineStr">
        <is>
          <t>Link</t>
        </is>
      </c>
      <c r="F133" s="3" t="n"/>
      <c r="G133" s="14" t="inlineStr">
        <is>
          <t>WFD-SB</t>
        </is>
      </c>
      <c r="H133" s="38" t="inlineStr">
        <is>
          <t>Done</t>
        </is>
      </c>
      <c r="I133" s="109" t="n">
        <v>1</v>
      </c>
      <c r="J133" s="3">
        <f>IF(H133="Done","Done",
   IF(L133=TODAY(),"Due",
      IF(L133&lt;TODAY(),"Overdue",
         IF(AND(L133&gt;TODAY(),L133&lt;=TODAY()+5),"Upcoming","OnTrack"))))</f>
        <v/>
      </c>
      <c r="K133" s="19" t="inlineStr">
        <is>
          <t>Chootima &lt;Fern&gt; P.</t>
        </is>
      </c>
      <c r="L133" s="13" t="n">
        <v>46080</v>
      </c>
      <c r="M133" s="13" t="n">
        <v>46080</v>
      </c>
      <c r="N133" s="13" t="n">
        <v>46080</v>
      </c>
      <c r="O133" s="110" t="inlineStr">
        <is>
          <t>Process</t>
        </is>
      </c>
      <c r="P133" s="48" t="n">
        <v>0</v>
      </c>
      <c r="Q133" s="3">
        <f>IF(O133="Not Start","Not Start",
   IF(AND(O133="Done",U133&gt;T133),"Done with Overdue",
      IF(O133="Done","Done",
         IF(T133=TODAY(),"Due",
            IF(T133&lt;TODAY(),"Overdue",
               IF(AND(T133&gt;TODAY(),T133&lt;=TODAY()+5),"Upcoming","On Track"))))))</f>
        <v/>
      </c>
      <c r="R133" s="10" t="inlineStr">
        <is>
          <t>Suphachai &lt;To&gt; S.</t>
        </is>
      </c>
      <c r="S133" s="13" t="n">
        <v>46087</v>
      </c>
      <c r="T133" s="13" t="n">
        <v>46101</v>
      </c>
      <c r="U133" s="87" t="n"/>
      <c r="V133" s="13" t="n">
        <v>46062</v>
      </c>
      <c r="W133" s="13" t="n">
        <v>46192</v>
      </c>
      <c r="X133" s="62" t="n"/>
      <c r="Y133" s="35" t="n"/>
    </row>
    <row r="134" ht="15" customHeight="1">
      <c r="A134" s="3" t="n">
        <v>50</v>
      </c>
      <c r="B134" s="3" t="n"/>
      <c r="C134" s="4" t="n"/>
      <c r="D134" s="31" t="inlineStr">
        <is>
          <t>Job send email 3 Job</t>
        </is>
      </c>
      <c r="E134" s="27" t="inlineStr">
        <is>
          <t>Link</t>
        </is>
      </c>
      <c r="F134" s="3" t="n"/>
      <c r="G134" s="14" t="inlineStr">
        <is>
          <t>WFD-SB</t>
        </is>
      </c>
      <c r="H134" s="38" t="inlineStr">
        <is>
          <t>Done</t>
        </is>
      </c>
      <c r="I134" s="109" t="n">
        <v>1</v>
      </c>
      <c r="J134" s="3">
        <f>IF(H134="Done","Done",
   IF(L134=TODAY(),"Due",
      IF(L134&lt;TODAY(),"Overdue",
         IF(AND(L134&gt;TODAY(),L134&lt;=TODAY()+5),"Upcoming","OnTrack"))))</f>
        <v/>
      </c>
      <c r="K134" s="19" t="inlineStr">
        <is>
          <t>Chootima &lt;Fern&gt; P.</t>
        </is>
      </c>
      <c r="L134" s="13" t="n">
        <v>46085</v>
      </c>
      <c r="M134" s="13" t="n">
        <v>46085</v>
      </c>
      <c r="N134" s="13" t="n">
        <v>46085</v>
      </c>
      <c r="O134" s="110" t="inlineStr">
        <is>
          <t>Process</t>
        </is>
      </c>
      <c r="P134" s="48" t="n">
        <v>0</v>
      </c>
      <c r="Q134" s="3">
        <f>IF(O134="Not Start","Not Start",
   IF(AND(O134="Done",U134&gt;T134),"Done with Overdue",
      IF(O134="Done","Done",
         IF(T134=TODAY(),"Due",
            IF(T134&lt;TODAY(),"Overdue",
               IF(AND(T134&gt;TODAY(),T134&lt;=TODAY()+5),"Upcoming","On Track"))))))</f>
        <v/>
      </c>
      <c r="R134" s="10" t="inlineStr">
        <is>
          <t>Suphachai &lt;To&gt; S.</t>
        </is>
      </c>
      <c r="S134" s="13" t="n">
        <v>46094</v>
      </c>
      <c r="T134" s="13" t="n">
        <v>46101</v>
      </c>
      <c r="U134" s="87" t="n"/>
      <c r="V134" s="13" t="n">
        <v>46062</v>
      </c>
      <c r="W134" s="13" t="n">
        <v>46192</v>
      </c>
      <c r="X134" s="62" t="n"/>
      <c r="Y134" s="35" t="n"/>
    </row>
    <row r="135" ht="15" customHeight="1">
      <c r="A135" s="3" t="n">
        <v>51</v>
      </c>
      <c r="B135" s="3" t="n"/>
      <c r="C135" s="4" t="n"/>
      <c r="D135" s="31" t="inlineStr">
        <is>
          <t>รายงาน 14 รายงาน</t>
        </is>
      </c>
      <c r="E135" s="27" t="inlineStr">
        <is>
          <t>Link</t>
        </is>
      </c>
      <c r="F135" s="3" t="n"/>
      <c r="G135" s="14" t="inlineStr">
        <is>
          <t>WFD-SB</t>
        </is>
      </c>
      <c r="H135" s="38" t="inlineStr">
        <is>
          <t>Done</t>
        </is>
      </c>
      <c r="I135" s="109" t="n">
        <v>1</v>
      </c>
      <c r="J135" s="3">
        <f>IF(H135="Done","Done",
   IF(L135=TODAY(),"Due",
      IF(L135&lt;TODAY(),"Overdue",
         IF(AND(L135&gt;TODAY(),L135&lt;=TODAY()+5),"Upcoming","OnTrack"))))</f>
        <v/>
      </c>
      <c r="K135" s="19" t="inlineStr">
        <is>
          <t>Chootima &lt;Fern&gt; P.</t>
        </is>
      </c>
      <c r="L135" s="13" t="n">
        <v>46094</v>
      </c>
      <c r="M135" s="13" t="n">
        <v>46094</v>
      </c>
      <c r="N135" s="13" t="n">
        <v>46094</v>
      </c>
      <c r="O135" s="110" t="inlineStr">
        <is>
          <t>Process</t>
        </is>
      </c>
      <c r="P135" s="48" t="n">
        <v>0</v>
      </c>
      <c r="Q135" s="3">
        <f>IF(O135="Not Start","Not Start",
   IF(AND(O135="Done",U135&gt;T135),"Done with Overdue",
      IF(O135="Done","Done",
         IF(T135=TODAY(),"Due",
            IF(T135&lt;TODAY(),"Overdue",
               IF(AND(T135&gt;TODAY(),T135&lt;=TODAY()+5),"Upcoming","On Track"))))))</f>
        <v/>
      </c>
      <c r="R135" s="10" t="inlineStr">
        <is>
          <t>Suphachai &lt;To&gt; S.</t>
        </is>
      </c>
      <c r="S135" s="13" t="n">
        <v>46101</v>
      </c>
      <c r="T135" s="13" t="n">
        <v>46101</v>
      </c>
      <c r="U135" s="87" t="n"/>
      <c r="V135" s="13" t="n">
        <v>46062</v>
      </c>
      <c r="W135" s="13" t="n">
        <v>46192</v>
      </c>
      <c r="X135" s="62" t="n"/>
      <c r="Y135" s="35" t="n"/>
    </row>
    <row r="136" ht="15" customHeight="1">
      <c r="A136" s="3" t="n"/>
      <c r="B136" s="3" t="n"/>
      <c r="C136" s="127" t="inlineStr">
        <is>
          <t>5. SBP Evaluation Management</t>
        </is>
      </c>
      <c r="D136" s="146" t="n"/>
      <c r="E136" s="3" t="n"/>
      <c r="F136" s="3" t="n"/>
      <c r="G136" s="3" t="n"/>
      <c r="H136" s="3" t="n"/>
      <c r="I136" s="45">
        <f>(SUM(I137:I155)/19)</f>
        <v/>
      </c>
      <c r="J136" s="3" t="n"/>
      <c r="K136" s="9" t="n"/>
      <c r="L136" s="42" t="n"/>
      <c r="M136" s="42" t="n"/>
      <c r="N136" s="9" t="n"/>
      <c r="O136" s="3" t="n"/>
      <c r="P136" s="45">
        <f>(SUM(P137:P155)/17)</f>
        <v/>
      </c>
      <c r="Q136" s="3" t="n"/>
      <c r="R136" s="9" t="n"/>
      <c r="S136" s="108" t="n"/>
      <c r="T136" s="108" t="n"/>
      <c r="U136" s="9" t="n"/>
      <c r="V136" s="12" t="n"/>
      <c r="W136" s="12" t="n"/>
      <c r="X136" s="3" t="n"/>
      <c r="Y136" s="35" t="n"/>
    </row>
    <row r="137" ht="24.75" customHeight="1">
      <c r="A137" s="3" t="n">
        <v>52</v>
      </c>
      <c r="B137" s="3" t="n"/>
      <c r="C137" s="4" t="n"/>
      <c r="D137" s="58" t="inlineStr">
        <is>
          <t>การนำเข้าข้อมูลเป้าหมายและเกิดจริง (เมนูนำเข้าข้อมูลระบบ)</t>
        </is>
      </c>
      <c r="E137" s="27" t="inlineStr">
        <is>
          <t>Link</t>
        </is>
      </c>
      <c r="F137" s="27" t="inlineStr">
        <is>
          <t>Link</t>
        </is>
      </c>
      <c r="G137" s="3" t="inlineStr">
        <is>
          <t>OCM</t>
        </is>
      </c>
      <c r="H137" s="22" t="inlineStr">
        <is>
          <t>Done</t>
        </is>
      </c>
      <c r="I137" s="47" t="n">
        <v>1</v>
      </c>
      <c r="J137" s="3">
        <f>IF(H137="Done","Done",
   IF(L137=TODAY(),"Due",
      IF(L137&lt;TODAY(),"Overdue",
         IF(AND(L137&gt;TODAY(),L137&lt;=TODAY()+5),"Upcoming","OnTrack"))))</f>
        <v/>
      </c>
      <c r="K137" s="69" t="inlineStr">
        <is>
          <t>Ratchadaporn &lt;Tookta&gt; M.</t>
        </is>
      </c>
      <c r="L137" s="13" t="n">
        <v>45959</v>
      </c>
      <c r="M137" s="13" t="n">
        <v>45959</v>
      </c>
      <c r="N137" s="13" t="n">
        <v>45959</v>
      </c>
      <c r="O137" s="22" t="inlineStr">
        <is>
          <t>Done</t>
        </is>
      </c>
      <c r="P137" s="47" t="n">
        <v>1</v>
      </c>
      <c r="Q137" s="10">
        <f>IF(O137="Not Start","Not Start",
   IF(AND(O137="Done",U137&gt;T137),"Done with Overdue",
      IF(O137="Done","Done",
         IF(T137=TODAY(),"Due",
            IF(T137&lt;TODAY(),"Overdue",
               IF(AND(T137&gt;TODAY(),T137&lt;=TODAY()+5),"Upcoming","On Track"))))))</f>
        <v/>
      </c>
      <c r="R137" s="3" t="inlineStr">
        <is>
          <t>Suphachai &lt;To&gt; S.</t>
        </is>
      </c>
      <c r="S137" s="71" t="n">
        <v>45966</v>
      </c>
      <c r="T137" s="71" t="n">
        <v>45966</v>
      </c>
      <c r="U137" s="71" t="n">
        <v>45981</v>
      </c>
      <c r="V137" s="72" t="n">
        <v>45964</v>
      </c>
      <c r="W137" s="70" t="n">
        <v>46052</v>
      </c>
      <c r="X137" s="50" t="inlineStr">
        <is>
          <t>20/11/2025 : หมายเหตุ : ขอให้ระบุเรื่องการ handle ขนาด file ที่สามารถ upload ได้ด้วย
20/11/2025 : Approved</t>
        </is>
      </c>
      <c r="Y137" s="35" t="n"/>
    </row>
    <row r="138" ht="15" customHeight="1">
      <c r="A138" s="3" t="n">
        <v>53</v>
      </c>
      <c r="B138" s="3" t="n"/>
      <c r="C138" s="4" t="n"/>
      <c r="D138" s="58" t="inlineStr">
        <is>
          <t>ค้นหาข้อมูลเป้าหมายและเกิดจริง</t>
        </is>
      </c>
      <c r="E138" s="27" t="inlineStr">
        <is>
          <t>Link</t>
        </is>
      </c>
      <c r="F138" s="27" t="inlineStr">
        <is>
          <t>Link</t>
        </is>
      </c>
      <c r="G138" s="3" t="inlineStr">
        <is>
          <t>OCM</t>
        </is>
      </c>
      <c r="H138" s="22" t="inlineStr">
        <is>
          <t>Done</t>
        </is>
      </c>
      <c r="I138" s="47" t="n">
        <v>1</v>
      </c>
      <c r="J138" s="3">
        <f>IF(H138="Done","Done",
   IF(L138=TODAY(),"Due",
      IF(L138&lt;TODAY(),"Overdue",
         IF(AND(L138&gt;TODAY(),L138&lt;=TODAY()+5),"Upcoming","OnTrack"))))</f>
        <v/>
      </c>
      <c r="K138" s="69" t="inlineStr">
        <is>
          <t>Ratchadaporn &lt;Tookta&gt; M.</t>
        </is>
      </c>
      <c r="L138" s="13" t="n">
        <v>45959</v>
      </c>
      <c r="M138" s="13" t="n">
        <v>45964</v>
      </c>
      <c r="N138" s="13" t="n">
        <v>45964</v>
      </c>
      <c r="O138" s="22" t="inlineStr">
        <is>
          <t>Done</t>
        </is>
      </c>
      <c r="P138" s="47" t="n">
        <v>1</v>
      </c>
      <c r="Q138" s="10">
        <f>IF(O138="Not Start","Not Start",
   IF(AND(O138="Done",U138&gt;T138),"Done with Overdue",
      IF(O138="Done","Done",
         IF(T138=TODAY(),"Due",
            IF(T138&lt;TODAY(),"Overdue",
               IF(AND(T138&gt;TODAY(),T138&lt;=TODAY()+5),"Upcoming","On Track"))))))</f>
        <v/>
      </c>
      <c r="R138" s="3" t="inlineStr">
        <is>
          <t>Suphachai &lt;To&gt; S.</t>
        </is>
      </c>
      <c r="S138" s="71" t="n">
        <v>45966</v>
      </c>
      <c r="T138" s="71" t="n">
        <v>45971</v>
      </c>
      <c r="U138" s="71" t="n">
        <v>45981</v>
      </c>
      <c r="V138" s="72" t="n">
        <v>45964</v>
      </c>
      <c r="W138" s="70" t="n">
        <v>46052</v>
      </c>
      <c r="X138" s="50" t="inlineStr">
        <is>
          <t>20/11/2025 : Approved</t>
        </is>
      </c>
      <c r="Y138" s="35" t="n"/>
    </row>
    <row r="139" ht="15" customHeight="1">
      <c r="A139" s="3" t="n">
        <v>54</v>
      </c>
      <c r="B139" s="3" t="n"/>
      <c r="C139" s="4" t="n"/>
      <c r="D139" s="58" t="inlineStr">
        <is>
          <t>เกรดของแบบประเมิน</t>
        </is>
      </c>
      <c r="E139" s="27" t="inlineStr">
        <is>
          <t>Link</t>
        </is>
      </c>
      <c r="F139" s="27" t="inlineStr">
        <is>
          <t>Link</t>
        </is>
      </c>
      <c r="G139" s="3" t="inlineStr">
        <is>
          <t>OCM</t>
        </is>
      </c>
      <c r="H139" s="22" t="inlineStr">
        <is>
          <t>Done</t>
        </is>
      </c>
      <c r="I139" s="47" t="n">
        <v>1</v>
      </c>
      <c r="J139" s="3">
        <f>IF(H139="Done","Done",
   IF(L139=TODAY(),"Due",
      IF(L139&lt;TODAY(),"Overdue",
         IF(AND(L139&gt;TODAY(),L139&lt;=TODAY()+5),"Upcoming","OnTrack"))))</f>
        <v/>
      </c>
      <c r="K139" s="69" t="inlineStr">
        <is>
          <t>Ratchadaporn &lt;Tookta&gt; M.</t>
        </is>
      </c>
      <c r="L139" s="13" t="n">
        <v>45959</v>
      </c>
      <c r="M139" s="13" t="n">
        <v>45964</v>
      </c>
      <c r="N139" s="13" t="n">
        <v>45964</v>
      </c>
      <c r="O139" s="22" t="inlineStr">
        <is>
          <t>Done</t>
        </is>
      </c>
      <c r="P139" s="47" t="n">
        <v>1</v>
      </c>
      <c r="Q139" s="10">
        <f>IF(O139="Not Start","Not Start",
   IF(AND(O139="Done",U139&gt;T139),"Done with Overdue",
      IF(O139="Done","Done",
         IF(T139=TODAY(),"Due",
            IF(T139&lt;TODAY(),"Overdue",
               IF(AND(T139&gt;TODAY(),T139&lt;=TODAY()+5),"Upcoming","On Track"))))))</f>
        <v/>
      </c>
      <c r="R139" s="3" t="inlineStr">
        <is>
          <t>Suphachai &lt;To&gt; S.</t>
        </is>
      </c>
      <c r="S139" s="71" t="n">
        <v>45966</v>
      </c>
      <c r="T139" s="71" t="n">
        <v>45971</v>
      </c>
      <c r="U139" s="71" t="n">
        <v>45981</v>
      </c>
      <c r="V139" s="72" t="n">
        <v>45964</v>
      </c>
      <c r="W139" s="70" t="n">
        <v>46052</v>
      </c>
      <c r="X139" s="50" t="inlineStr">
        <is>
          <t>20/11/2025 : Approved</t>
        </is>
      </c>
      <c r="Y139" s="35" t="n"/>
    </row>
    <row r="140" ht="24.75" customHeight="1">
      <c r="A140" s="3" t="n">
        <v>55</v>
      </c>
      <c r="B140" s="3" t="n"/>
      <c r="C140" s="4" t="n"/>
      <c r="D140" s="58" t="inlineStr">
        <is>
          <t>นำเข้าคะแนน Premium (เมนูนำเข้าข้อมูลระบบ)</t>
        </is>
      </c>
      <c r="E140" s="27" t="inlineStr">
        <is>
          <t>Link</t>
        </is>
      </c>
      <c r="F140" s="27" t="inlineStr">
        <is>
          <t>Link</t>
        </is>
      </c>
      <c r="G140" s="3" t="inlineStr">
        <is>
          <t>OCM</t>
        </is>
      </c>
      <c r="H140" s="22" t="inlineStr">
        <is>
          <t>Done</t>
        </is>
      </c>
      <c r="I140" s="47" t="n">
        <v>1</v>
      </c>
      <c r="J140" s="3">
        <f>IF(H140="Done","Done",
   IF(L140=TODAY(),"Due",
      IF(L140&lt;TODAY(),"Overdue",
         IF(AND(L140&gt;TODAY(),L140&lt;=TODAY()+5),"Upcoming","OnTrack"))))</f>
        <v/>
      </c>
      <c r="K140" s="69" t="inlineStr">
        <is>
          <t>Ratchadaporn &lt;Tookta&gt; M.</t>
        </is>
      </c>
      <c r="L140" s="13" t="n">
        <v>45958</v>
      </c>
      <c r="M140" s="13" t="n">
        <v>45959</v>
      </c>
      <c r="N140" s="13" t="n">
        <v>45959</v>
      </c>
      <c r="O140" s="22" t="inlineStr">
        <is>
          <t>Done</t>
        </is>
      </c>
      <c r="P140" s="47" t="n">
        <v>1</v>
      </c>
      <c r="Q140" s="10">
        <f>IF(O140="Not Start","Not Start",
   IF(AND(O140="Done",U140&gt;T140),"Done with Overdue",
      IF(O140="Done","Done",
         IF(T140=TODAY(),"Due",
            IF(T140&lt;TODAY(),"Overdue",
               IF(AND(T140&gt;TODAY(),T140&lt;=TODAY()+5),"Upcoming","On Track"))))))</f>
        <v/>
      </c>
      <c r="R140" s="3" t="inlineStr">
        <is>
          <t>Suphachai &lt;To&gt; S.</t>
        </is>
      </c>
      <c r="S140" s="71" t="n">
        <v>45966</v>
      </c>
      <c r="T140" s="71" t="n">
        <v>45966</v>
      </c>
      <c r="U140" s="71" t="n">
        <v>45981</v>
      </c>
      <c r="V140" s="72" t="n">
        <v>45964</v>
      </c>
      <c r="W140" s="70" t="n">
        <v>46052</v>
      </c>
      <c r="X140" s="50" t="inlineStr">
        <is>
          <t>20/11/2025 : หมายเหตุ : ขอให้ระบุเรื่องการ handle ขนาด file ที่สามารถ upload ได้ด้วย
20/11/2025 : Approved</t>
        </is>
      </c>
      <c r="Y140" s="35" t="n"/>
    </row>
    <row r="141" ht="37.5" customHeight="1">
      <c r="A141" s="3" t="n">
        <v>56</v>
      </c>
      <c r="B141" s="3" t="n"/>
      <c r="C141" s="4" t="n"/>
      <c r="D141" s="58" t="inlineStr">
        <is>
          <t>การแจ้งประเมิน</t>
        </is>
      </c>
      <c r="E141" s="27" t="inlineStr">
        <is>
          <t>Link</t>
        </is>
      </c>
      <c r="F141" s="27" t="inlineStr">
        <is>
          <t>Link</t>
        </is>
      </c>
      <c r="G141" s="3" t="inlineStr">
        <is>
          <t>OCM</t>
        </is>
      </c>
      <c r="H141" s="22" t="inlineStr">
        <is>
          <t>Done</t>
        </is>
      </c>
      <c r="I141" s="47" t="n">
        <v>1</v>
      </c>
      <c r="J141" s="3">
        <f>IF(H141="Done","Done",
   IF(L141=TODAY(),"Due",
      IF(L141&lt;TODAY(),"Overdue",
         IF(AND(L141&gt;TODAY(),L141&lt;=TODAY()+5),"Upcoming","OnTrack"))))</f>
        <v/>
      </c>
      <c r="K141" s="69" t="inlineStr">
        <is>
          <t>Ratchadaporn &lt;Tookta&gt; M.</t>
        </is>
      </c>
      <c r="L141" s="13" t="n">
        <v>45961</v>
      </c>
      <c r="M141" s="13" t="n">
        <v>45967</v>
      </c>
      <c r="N141" s="13" t="n">
        <v>45973</v>
      </c>
      <c r="O141" s="22" t="inlineStr">
        <is>
          <t>Done</t>
        </is>
      </c>
      <c r="P141" s="47" t="n">
        <v>1</v>
      </c>
      <c r="Q141" s="10">
        <f>IF(O141="Not Start","Not Start",
   IF(AND(O141="Done",U141&gt;T141),"Done with Overdue",
      IF(O141="Done","Done",
         IF(T141=TODAY(),"Due",
            IF(T141&lt;TODAY(),"Overdue",
               IF(AND(T141&gt;TODAY(),T141&lt;=TODAY()+5),"Upcoming","On Track"))))))</f>
        <v/>
      </c>
      <c r="R141" s="9" t="inlineStr">
        <is>
          <t>Suphachai &lt;To&gt; S.</t>
        </is>
      </c>
      <c r="S141" s="42" t="n">
        <v>45968</v>
      </c>
      <c r="T141" s="42" t="n">
        <v>45980</v>
      </c>
      <c r="U141" s="42" t="n">
        <v>45985</v>
      </c>
      <c r="V141" s="78" t="n">
        <v>45964</v>
      </c>
      <c r="W141" s="79" t="n">
        <v>46052</v>
      </c>
      <c r="X141" s="50" t="inlineStr">
        <is>
          <t>24/11/2025 : หมายเหตุ : ระบบมีการส่ง email , เป็นการส่งแบบจาก Backend module แยกหรือเป็น EmailService กลางครับ ถ้ามี EmailService กลางอาจจะส่งมาให้ review เพิ่มครับ
24/11/2025 : Approved</t>
        </is>
      </c>
      <c r="Y141" s="35" t="n"/>
    </row>
    <row r="142" ht="37.5" customHeight="1">
      <c r="A142" s="3" t="n">
        <v>57</v>
      </c>
      <c r="B142" s="3" t="n"/>
      <c r="C142" s="4" t="n"/>
      <c r="D142" s="58" t="inlineStr">
        <is>
          <t>การประเมินผล</t>
        </is>
      </c>
      <c r="E142" s="27" t="inlineStr">
        <is>
          <t>Link</t>
        </is>
      </c>
      <c r="F142" s="27" t="inlineStr">
        <is>
          <t>Link</t>
        </is>
      </c>
      <c r="G142" s="3" t="inlineStr">
        <is>
          <t>OCM</t>
        </is>
      </c>
      <c r="H142" s="22" t="inlineStr">
        <is>
          <t>Done</t>
        </is>
      </c>
      <c r="I142" s="47" t="n">
        <v>1</v>
      </c>
      <c r="J142" s="3">
        <f>IF(H142="Done","Done",
   IF(L142=TODAY(),"Due",
      IF(L142&lt;TODAY(),"Overdue",
         IF(AND(L142&gt;TODAY(),L142&lt;=TODAY()+5),"Upcoming","OnTrack"))))</f>
        <v/>
      </c>
      <c r="K142" s="85" t="inlineStr">
        <is>
          <t>Ratchadaporn &lt;Tookta&gt; M.</t>
        </is>
      </c>
      <c r="L142" s="42" t="n">
        <v>45972</v>
      </c>
      <c r="M142" s="42" t="n">
        <v>45972</v>
      </c>
      <c r="N142" s="42" t="n">
        <v>45973</v>
      </c>
      <c r="O142" s="22" t="inlineStr">
        <is>
          <t>Done</t>
        </is>
      </c>
      <c r="P142" s="47" t="n">
        <v>1</v>
      </c>
      <c r="Q142" s="10">
        <f>IF(O142="Not Start","Not Start",
   IF(AND(O142="Done",U142&gt;T142),"Done with Overdue",
      IF(O142="Done","Done",
         IF(T142=TODAY(),"Due",
            IF(T142&lt;TODAY(),"Overdue",
               IF(AND(T142&gt;TODAY(),T142&lt;=TODAY()+5),"Upcoming","On Track"))))))</f>
        <v/>
      </c>
      <c r="R142" s="3" t="inlineStr">
        <is>
          <t>Suphachai &lt;To&gt; S.</t>
        </is>
      </c>
      <c r="S142" s="13" t="n">
        <v>45979</v>
      </c>
      <c r="T142" s="13" t="n">
        <v>45980</v>
      </c>
      <c r="U142" s="63" t="n">
        <v>45985</v>
      </c>
      <c r="V142" s="70" t="n">
        <v>45964</v>
      </c>
      <c r="W142" s="70" t="n">
        <v>46052</v>
      </c>
      <c r="X142" s="77" t="inlineStr">
        <is>
          <t>24/11/2025 : หมายเหตุ : ระบบมีการส่ง email , เป็นการส่งแบบจาก Backend module แยกหรือเป็น EmailService กลางครับ ถ้ามี EmailService กลางอาจจะส่งมาให้ review เพิ่มครับ
24/11/2025 : Approved</t>
        </is>
      </c>
      <c r="Y142" s="35" t="n"/>
    </row>
    <row r="143" ht="24.75" customHeight="1">
      <c r="A143" s="3" t="n">
        <v>58</v>
      </c>
      <c r="B143" s="3" t="n"/>
      <c r="C143" s="4" t="n"/>
      <c r="D143" s="102" t="inlineStr">
        <is>
          <t>Performance</t>
        </is>
      </c>
      <c r="E143" s="27" t="inlineStr">
        <is>
          <t>Link</t>
        </is>
      </c>
      <c r="F143" s="3" t="n"/>
      <c r="G143" s="3" t="inlineStr">
        <is>
          <t>OCM</t>
        </is>
      </c>
      <c r="H143" s="22" t="inlineStr">
        <is>
          <t>Done</t>
        </is>
      </c>
      <c r="I143" s="47" t="n">
        <v>1</v>
      </c>
      <c r="J143" s="10">
        <f>IF(H143="Done","Done",
   IF(L143=TODAY(),"Due",
      IF(L143&lt;TODAY(),"Overdue",
         IF(AND(L143&gt;TODAY(),L143&lt;=TODAY()+5),"Upcoming","OnTrack"))))</f>
        <v/>
      </c>
      <c r="K143" s="49" t="inlineStr">
        <is>
          <t>Ratchadaporn &lt;Tookta&gt; M.</t>
        </is>
      </c>
      <c r="L143" s="13" t="n">
        <v>45975</v>
      </c>
      <c r="M143" s="13" t="n">
        <v>45975</v>
      </c>
      <c r="N143" s="13" t="n">
        <v>45989</v>
      </c>
      <c r="O143" s="22" t="inlineStr">
        <is>
          <t>Done</t>
        </is>
      </c>
      <c r="P143" s="48" t="n">
        <v>1</v>
      </c>
      <c r="Q143" s="10">
        <f>IF(O143="Not Start","Not Start",
   IF(AND(O143="Done",U143&gt;T143),"Done with Overdue",
      IF(O143="Done","Done",
         IF(T143=TODAY(),"Due",
            IF(T143&lt;TODAY(),"Overdue",
               IF(AND(T143&gt;TODAY(),T143&lt;=TODAY()+5),"Upcoming","On Track"))))))</f>
        <v/>
      </c>
      <c r="R143" s="3" t="inlineStr">
        <is>
          <t>Suphachai &lt;To&gt; S.</t>
        </is>
      </c>
      <c r="S143" s="13" t="n">
        <v>45972</v>
      </c>
      <c r="T143" s="13" t="n">
        <v>45995</v>
      </c>
      <c r="U143" s="13" t="n">
        <v>46031</v>
      </c>
      <c r="V143" s="13" t="n">
        <v>45964</v>
      </c>
      <c r="W143" s="13" t="n">
        <v>46052</v>
      </c>
      <c r="X143" s="98" t="inlineStr">
        <is>
          <t>09/01/2026 :ขอข้อมูลเพิ่ม
26/02/2036 : Service ส่งแก้ไขตาม Comment</t>
        </is>
      </c>
      <c r="Y143" s="99" t="inlineStr">
        <is>
          <t>Feedback</t>
        </is>
      </c>
    </row>
    <row r="144" ht="24.75" customHeight="1">
      <c r="A144" s="3" t="n">
        <v>59</v>
      </c>
      <c r="B144" s="3" t="n"/>
      <c r="C144" s="4" t="n"/>
      <c r="D144" s="102" t="inlineStr">
        <is>
          <t>การตรวจสอบผลการประเมิน</t>
        </is>
      </c>
      <c r="E144" s="27" t="inlineStr">
        <is>
          <t>Link</t>
        </is>
      </c>
      <c r="F144" s="3" t="n"/>
      <c r="G144" s="3" t="inlineStr">
        <is>
          <t>OCM</t>
        </is>
      </c>
      <c r="H144" s="22" t="inlineStr">
        <is>
          <t>Done</t>
        </is>
      </c>
      <c r="I144" s="47" t="n">
        <v>1</v>
      </c>
      <c r="J144" s="10">
        <f>IF(H144="Done","Done",
   IF(L144=TODAY(),"Due",
      IF(L144&lt;TODAY(),"Overdue",
         IF(AND(L144&gt;TODAY(),L144&lt;=TODAY()+5),"Upcoming","OnTrack"))))</f>
        <v/>
      </c>
      <c r="K144" s="49" t="inlineStr">
        <is>
          <t>Ratchadaporn &lt;Tookta&gt; M.</t>
        </is>
      </c>
      <c r="L144" s="13" t="n">
        <v>45980</v>
      </c>
      <c r="M144" s="13" t="n">
        <v>45986</v>
      </c>
      <c r="N144" s="13" t="n">
        <v>45989</v>
      </c>
      <c r="O144" s="22" t="inlineStr">
        <is>
          <t>Done</t>
        </is>
      </c>
      <c r="P144" s="48" t="n">
        <v>1</v>
      </c>
      <c r="Q144" s="10">
        <f>IF(O144="Not Start","Not Start",
   IF(AND(O144="Done",U144&gt;T144),"Done with Overdue",
      IF(O144="Done","Done",
         IF(T144=TODAY(),"Due",
            IF(T144&lt;TODAY(),"Overdue",
               IF(AND(T144&gt;TODAY(),T144&lt;=TODAY()+5),"Upcoming","On Track"))))))</f>
        <v/>
      </c>
      <c r="R144" s="3" t="inlineStr">
        <is>
          <t>Suphachai &lt;To&gt; S.</t>
        </is>
      </c>
      <c r="S144" s="13" t="n">
        <v>45972</v>
      </c>
      <c r="T144" s="13" t="n">
        <v>45995</v>
      </c>
      <c r="U144" s="13" t="n">
        <v>46031</v>
      </c>
      <c r="V144" s="13" t="n">
        <v>45964</v>
      </c>
      <c r="W144" s="13" t="n">
        <v>46052</v>
      </c>
      <c r="X144" s="98" t="inlineStr">
        <is>
          <t>09/01/2026 :ขอข้อมูลเพิ่ม
26/02/2036 : Service ส่งแก้ไขตาม Comment</t>
        </is>
      </c>
      <c r="Y144" s="99" t="inlineStr">
        <is>
          <t>Feedback</t>
        </is>
      </c>
    </row>
    <row r="145" ht="24.75" customHeight="1">
      <c r="A145" s="3" t="n">
        <v>60</v>
      </c>
      <c r="B145" s="3" t="n"/>
      <c r="C145" s="4" t="n"/>
      <c r="D145" s="102" t="inlineStr">
        <is>
          <t>สรุปประเมินผลการบริหารร้านค้า</t>
        </is>
      </c>
      <c r="E145" s="27" t="inlineStr">
        <is>
          <t>Link</t>
        </is>
      </c>
      <c r="F145" s="3" t="n"/>
      <c r="G145" s="3" t="inlineStr">
        <is>
          <t>OCM</t>
        </is>
      </c>
      <c r="H145" s="22" t="inlineStr">
        <is>
          <t>Done</t>
        </is>
      </c>
      <c r="I145" s="47" t="n">
        <v>1</v>
      </c>
      <c r="J145" s="10">
        <f>IF(H145="Done","Done",
   IF(L145=TODAY(),"Due",
      IF(L145&lt;TODAY(),"Overdue",
         IF(AND(L145&gt;TODAY(),L145&lt;=TODAY()+5),"Upcoming","OnTrack"))))</f>
        <v/>
      </c>
      <c r="K145" s="49" t="inlineStr">
        <is>
          <t>Ratchadaporn &lt;Tookta&gt; M.</t>
        </is>
      </c>
      <c r="L145" s="13" t="n">
        <v>45985</v>
      </c>
      <c r="M145" s="13" t="n">
        <v>45994</v>
      </c>
      <c r="N145" s="13" t="n">
        <v>45994</v>
      </c>
      <c r="O145" s="22" t="inlineStr">
        <is>
          <t>Done</t>
        </is>
      </c>
      <c r="P145" s="48" t="n">
        <v>1</v>
      </c>
      <c r="Q145" s="10">
        <f>IF(O145="Not Start","Not Start",
   IF(AND(O145="Done",U145&gt;T145),"Done with Overdue",
      IF(O145="Done","Done",
         IF(T145=TODAY(),"Due",
            IF(T145&lt;TODAY(),"Overdue",
               IF(AND(T145&gt;TODAY(),T145&lt;=TODAY()+5),"Upcoming","On Track"))))))</f>
        <v/>
      </c>
      <c r="R145" s="3" t="inlineStr">
        <is>
          <t>Suphachai &lt;To&gt; S.</t>
        </is>
      </c>
      <c r="S145" s="13" t="n">
        <v>46001</v>
      </c>
      <c r="T145" s="13" t="n">
        <v>46001</v>
      </c>
      <c r="U145" s="13" t="n">
        <v>46031</v>
      </c>
      <c r="V145" s="13" t="n">
        <v>45964</v>
      </c>
      <c r="W145" s="13" t="n">
        <v>46080</v>
      </c>
      <c r="X145" s="98" t="inlineStr">
        <is>
          <t>09/01/2026 :ขอข้อมูลเพิ่ม
26/02/2036 : Service ส่งแก้ไขตาม Comment</t>
        </is>
      </c>
      <c r="Y145" s="99" t="inlineStr">
        <is>
          <t>Feedback</t>
        </is>
      </c>
    </row>
    <row r="146" ht="24.75" customHeight="1">
      <c r="A146" s="3" t="n">
        <v>61</v>
      </c>
      <c r="B146" s="3" t="n"/>
      <c r="C146" s="4" t="n"/>
      <c r="D146" s="102" t="inlineStr">
        <is>
          <t>รายงานสรุปเกรดประเมินผล</t>
        </is>
      </c>
      <c r="E146" s="27" t="inlineStr">
        <is>
          <t>Link</t>
        </is>
      </c>
      <c r="F146" s="3" t="n"/>
      <c r="G146" s="3" t="inlineStr">
        <is>
          <t>OCM</t>
        </is>
      </c>
      <c r="H146" s="22" t="inlineStr">
        <is>
          <t>Done</t>
        </is>
      </c>
      <c r="I146" s="47" t="n">
        <v>1</v>
      </c>
      <c r="J146" s="10">
        <f>IF(H146="Done","Done",
   IF(L146=TODAY(),"Due",
      IF(L146&lt;TODAY(),"Overdue",
         IF(AND(L146&gt;TODAY(),L146&lt;=TODAY()+5),"Upcoming","OnTrack"))))</f>
        <v/>
      </c>
      <c r="K146" s="49" t="inlineStr">
        <is>
          <t>Ratchadaporn &lt;Tookta&gt; M.</t>
        </is>
      </c>
      <c r="L146" s="13" t="n">
        <v>45988</v>
      </c>
      <c r="M146" s="13" t="n">
        <v>46002</v>
      </c>
      <c r="N146" s="13" t="n">
        <v>46002</v>
      </c>
      <c r="O146" s="22" t="inlineStr">
        <is>
          <t>Done</t>
        </is>
      </c>
      <c r="P146" s="48" t="n">
        <v>1</v>
      </c>
      <c r="Q146" s="10">
        <f>IF(O146="Not Start","Not Start",
   IF(AND(O146="Done",U146&gt;T146),"Done with Overdue",
      IF(O146="Done","Done",
         IF(T146=TODAY(),"Due",
            IF(T146&lt;TODAY(),"Overdue",
               IF(AND(T146&gt;TODAY(),T146&lt;=TODAY()+5),"Upcoming","On Track"))))))</f>
        <v/>
      </c>
      <c r="R146" s="3" t="inlineStr">
        <is>
          <t>Suphachai &lt;To&gt; S.</t>
        </is>
      </c>
      <c r="S146" s="13" t="n">
        <v>45980</v>
      </c>
      <c r="T146" s="13" t="n">
        <v>46009</v>
      </c>
      <c r="U146" s="13" t="n">
        <v>46031</v>
      </c>
      <c r="V146" s="13" t="n">
        <v>45964</v>
      </c>
      <c r="W146" s="13" t="n">
        <v>46080</v>
      </c>
      <c r="X146" s="98" t="inlineStr">
        <is>
          <t>09/01/2026 :ขอข้อมูลเพิ่ม
26/02/2036 : Service ส่งแก้ไขตาม Comment</t>
        </is>
      </c>
      <c r="Y146" s="99" t="inlineStr">
        <is>
          <t>Feedback</t>
        </is>
      </c>
    </row>
    <row r="147" ht="24.75" customHeight="1">
      <c r="A147" s="3" t="n">
        <v>62</v>
      </c>
      <c r="B147" s="3" t="n"/>
      <c r="C147" s="4" t="n"/>
      <c r="D147" s="102" t="inlineStr">
        <is>
          <t>Export ข้อมูลประเมินผล (จะอยู่เมนสรุปข้อมูลพิจารางวัลประจำปี)</t>
        </is>
      </c>
      <c r="E147" s="27" t="inlineStr">
        <is>
          <t>Link</t>
        </is>
      </c>
      <c r="F147" s="3" t="n"/>
      <c r="G147" s="3" t="inlineStr">
        <is>
          <t>OCM</t>
        </is>
      </c>
      <c r="H147" s="22" t="inlineStr">
        <is>
          <t>Done</t>
        </is>
      </c>
      <c r="I147" s="47" t="n">
        <v>1</v>
      </c>
      <c r="J147" s="10">
        <f>IF(H147="Done","Done",
   IF(L147=TODAY(),"Due",
      IF(L147&lt;TODAY(),"Overdue",
         IF(AND(L147&gt;TODAY(),L147&lt;=TODAY()+5),"Upcoming","OnTrack"))))</f>
        <v/>
      </c>
      <c r="K147" s="49" t="inlineStr">
        <is>
          <t>Ratchadaporn &lt;Tookta&gt; M.</t>
        </is>
      </c>
      <c r="L147" s="13" t="n">
        <v>45993</v>
      </c>
      <c r="M147" s="13" t="n">
        <v>46016</v>
      </c>
      <c r="N147" s="13" t="n">
        <v>46027</v>
      </c>
      <c r="O147" s="22" t="inlineStr">
        <is>
          <t>Done</t>
        </is>
      </c>
      <c r="P147" s="48" t="n">
        <v>1</v>
      </c>
      <c r="Q147" s="10">
        <f>IF(O147="Not Start","Not Start",
   IF(AND(O147="Done",U147&gt;T147),"Done with Overdue",
      IF(O147="Done","Done",
         IF(T147=TODAY(),"Due",
            IF(T147&lt;TODAY(),"Overdue",
               IF(AND(T147&gt;TODAY(),T147&lt;=TODAY()+5),"Upcoming","On Track"))))))</f>
        <v/>
      </c>
      <c r="R147" s="3" t="inlineStr">
        <is>
          <t>Suphachai &lt;To&gt; S.</t>
        </is>
      </c>
      <c r="S147" s="13" t="n">
        <v>45980</v>
      </c>
      <c r="T147" s="13" t="n">
        <v>46031</v>
      </c>
      <c r="U147" s="13" t="n">
        <v>46031</v>
      </c>
      <c r="V147" s="13" t="n">
        <v>45964</v>
      </c>
      <c r="W147" s="13" t="n">
        <v>46080</v>
      </c>
      <c r="X147" s="98" t="inlineStr">
        <is>
          <t>09/01/2026 :ขอข้อมูลเพิ่ม
26/02/2036 : Service ส่งแก้ไขตาม Comment</t>
        </is>
      </c>
      <c r="Y147" s="99" t="inlineStr">
        <is>
          <t>Feedback</t>
        </is>
      </c>
    </row>
    <row r="148" ht="24.75" customHeight="1">
      <c r="A148" s="3" t="n">
        <v>63</v>
      </c>
      <c r="B148" s="3" t="n"/>
      <c r="C148" s="4" t="n"/>
      <c r="D148" s="102" t="inlineStr">
        <is>
          <t>ใบสรุปเกรด SBP</t>
        </is>
      </c>
      <c r="E148" s="27" t="inlineStr">
        <is>
          <t>Link</t>
        </is>
      </c>
      <c r="F148" s="3" t="n"/>
      <c r="G148" s="3" t="inlineStr">
        <is>
          <t>OCM</t>
        </is>
      </c>
      <c r="H148" s="22" t="inlineStr">
        <is>
          <t>Done</t>
        </is>
      </c>
      <c r="I148" s="47" t="n">
        <v>1</v>
      </c>
      <c r="J148" s="10">
        <f>IF(H148="Done","Done",
   IF(L148=TODAY(),"Due",
      IF(L148&lt;TODAY(),"Overdue",
         IF(AND(L148&gt;TODAY(),L148&lt;=TODAY()+5),"Upcoming","OnTrack"))))</f>
        <v/>
      </c>
      <c r="K148" s="49" t="inlineStr">
        <is>
          <t>Ratchadaporn &lt;Tookta&gt; M.</t>
        </is>
      </c>
      <c r="L148" s="13" t="n">
        <v>45999</v>
      </c>
      <c r="M148" s="13" t="n">
        <v>46009</v>
      </c>
      <c r="N148" s="13" t="n">
        <v>46009</v>
      </c>
      <c r="O148" s="22" t="inlineStr">
        <is>
          <t>Done</t>
        </is>
      </c>
      <c r="P148" s="48" t="n">
        <v>1</v>
      </c>
      <c r="Q148" s="10">
        <f>IF(O148="Not Start","Not Start",
   IF(AND(O148="Done",U148&gt;T148),"Done with Overdue",
      IF(O148="Done","Done",
         IF(T148=TODAY(),"Due",
            IF(T148&lt;TODAY(),"Overdue",
               IF(AND(T148&gt;TODAY(),T148&lt;=TODAY()+5),"Upcoming","On Track"))))))</f>
        <v/>
      </c>
      <c r="R148" s="3" t="inlineStr">
        <is>
          <t>Suphachai &lt;To&gt; S.</t>
        </is>
      </c>
      <c r="S148" s="13" t="n">
        <v>45980</v>
      </c>
      <c r="T148" s="13" t="n">
        <v>46016</v>
      </c>
      <c r="U148" s="13" t="n">
        <v>46031</v>
      </c>
      <c r="V148" s="13" t="n">
        <v>45964</v>
      </c>
      <c r="W148" s="13" t="n">
        <v>46080</v>
      </c>
      <c r="X148" s="98" t="inlineStr">
        <is>
          <t>09/01/2026 :ขอข้อมูลเพิ่ม
26/02/2036 : Service ส่งแก้ไขตาม Comment</t>
        </is>
      </c>
      <c r="Y148" s="99" t="inlineStr">
        <is>
          <t>Feedback</t>
        </is>
      </c>
    </row>
    <row r="149" ht="24.75" customHeight="1">
      <c r="A149" s="3" t="n">
        <v>64</v>
      </c>
      <c r="B149" s="3" t="n"/>
      <c r="C149" s="4" t="n"/>
      <c r="D149" s="102" t="inlineStr">
        <is>
          <t>ใบสรุปเกรด SBP(Admin)</t>
        </is>
      </c>
      <c r="E149" s="27" t="inlineStr">
        <is>
          <t>Link</t>
        </is>
      </c>
      <c r="F149" s="3" t="n"/>
      <c r="G149" s="3" t="inlineStr">
        <is>
          <t>OCM</t>
        </is>
      </c>
      <c r="H149" s="22" t="inlineStr">
        <is>
          <t>Done</t>
        </is>
      </c>
      <c r="I149" s="47" t="n">
        <v>1</v>
      </c>
      <c r="J149" s="10">
        <f>IF(H149="Done","Done",
   IF(L149=TODAY(),"Due",
      IF(L149&lt;TODAY(),"Overdue",
         IF(AND(L149&gt;TODAY(),L149&lt;=TODAY()+5),"Upcoming","OnTrack"))))</f>
        <v/>
      </c>
      <c r="K149" s="49" t="inlineStr">
        <is>
          <t>Ratchadaporn &lt;Tookta&gt; M.</t>
        </is>
      </c>
      <c r="L149" s="13" t="n">
        <v>46003</v>
      </c>
      <c r="M149" s="13" t="n">
        <v>46009</v>
      </c>
      <c r="N149" s="13" t="n">
        <v>46009</v>
      </c>
      <c r="O149" s="22" t="inlineStr">
        <is>
          <t>Done</t>
        </is>
      </c>
      <c r="P149" s="48" t="n">
        <v>1</v>
      </c>
      <c r="Q149" s="10">
        <f>IF(O149="Not Start","Not Start",
   IF(AND(O149="Done",U149&gt;T149),"Done with Overdue",
      IF(O149="Done","Done",
         IF(T149=TODAY(),"Due",
            IF(T149&lt;TODAY(),"Overdue",
               IF(AND(T149&gt;TODAY(),T149&lt;=TODAY()+5),"Upcoming","On Track"))))))</f>
        <v/>
      </c>
      <c r="R149" s="3" t="inlineStr">
        <is>
          <t>Suphachai &lt;To&gt; S.</t>
        </is>
      </c>
      <c r="S149" s="13" t="n">
        <v>45980</v>
      </c>
      <c r="T149" s="13" t="n">
        <v>46016</v>
      </c>
      <c r="U149" s="13" t="n">
        <v>46031</v>
      </c>
      <c r="V149" s="13" t="n">
        <v>45964</v>
      </c>
      <c r="W149" s="13" t="n">
        <v>46080</v>
      </c>
      <c r="X149" s="98" t="inlineStr">
        <is>
          <t>09/01/2026 :ขอข้อมูลเพิ่ม
26/02/2036 : Service ส่งแก้ไขตาม Comment</t>
        </is>
      </c>
      <c r="Y149" s="99" t="inlineStr">
        <is>
          <t>Feedback</t>
        </is>
      </c>
    </row>
    <row r="150" ht="24.75" customHeight="1">
      <c r="A150" s="3" t="n">
        <v>65</v>
      </c>
      <c r="B150" s="3" t="n"/>
      <c r="C150" s="4" t="n"/>
      <c r="D150" s="102" t="inlineStr">
        <is>
          <t>แจ้งผล Division admin</t>
        </is>
      </c>
      <c r="E150" s="27" t="inlineStr">
        <is>
          <t>Link</t>
        </is>
      </c>
      <c r="F150" s="3" t="n"/>
      <c r="G150" s="3" t="inlineStr">
        <is>
          <t>OCM</t>
        </is>
      </c>
      <c r="H150" s="22" t="inlineStr">
        <is>
          <t>Done</t>
        </is>
      </c>
      <c r="I150" s="47" t="n">
        <v>1</v>
      </c>
      <c r="J150" s="10">
        <f>IF(H150="Done","Done",
   IF(L150=TODAY(),"Due",
      IF(L150&lt;TODAY(),"Overdue",
         IF(AND(L150&gt;TODAY(),L150&lt;=TODAY()+5),"Upcoming","OnTrack"))))</f>
        <v/>
      </c>
      <c r="K150" s="49" t="inlineStr">
        <is>
          <t>Ratchadaporn &lt;Tookta&gt; M.</t>
        </is>
      </c>
      <c r="L150" s="13" t="n">
        <v>46008</v>
      </c>
      <c r="M150" s="13" t="n">
        <v>46016</v>
      </c>
      <c r="N150" s="13" t="n">
        <v>46027</v>
      </c>
      <c r="O150" s="22" t="inlineStr">
        <is>
          <t>Done</t>
        </is>
      </c>
      <c r="P150" s="48" t="n">
        <v>1</v>
      </c>
      <c r="Q150" s="10">
        <f>IF(O150="Not Start","Not Start",
   IF(AND(O150="Done",U150&gt;T150),"Done with Overdue",
      IF(O150="Done","Done",
         IF(T150=TODAY(),"Due",
            IF(T150&lt;TODAY(),"Overdue",
               IF(AND(T150&gt;TODAY(),T150&lt;=TODAY()+5),"Upcoming","On Track"))))))</f>
        <v/>
      </c>
      <c r="R150" s="3" t="inlineStr">
        <is>
          <t>Suphachai &lt;To&gt; S.</t>
        </is>
      </c>
      <c r="S150" s="13" t="n">
        <v>45980</v>
      </c>
      <c r="T150" s="13" t="n">
        <v>46031</v>
      </c>
      <c r="U150" s="13" t="n">
        <v>46031</v>
      </c>
      <c r="V150" s="13" t="n">
        <v>45964</v>
      </c>
      <c r="W150" s="13" t="n">
        <v>46080</v>
      </c>
      <c r="X150" s="98" t="inlineStr">
        <is>
          <t>09/01/2026 :ขอข้อมูลเพิ่ม
26/02/2036 : Service ส่งแก้ไขตาม Comment</t>
        </is>
      </c>
      <c r="Y150" s="99" t="inlineStr">
        <is>
          <t>Feedback</t>
        </is>
      </c>
    </row>
    <row r="151" ht="24.75" customHeight="1">
      <c r="A151" s="3" t="n">
        <v>66</v>
      </c>
      <c r="B151" s="3" t="n"/>
      <c r="C151" s="4" t="n"/>
      <c r="D151" s="102" t="inlineStr">
        <is>
          <t>สรุปข้อมูลพิจารณารางวัลประจําปี</t>
        </is>
      </c>
      <c r="E151" s="27" t="inlineStr">
        <is>
          <t>Link</t>
        </is>
      </c>
      <c r="F151" s="3" t="n"/>
      <c r="G151" s="3" t="inlineStr">
        <is>
          <t>OCM</t>
        </is>
      </c>
      <c r="H151" s="22" t="inlineStr">
        <is>
          <t>Done</t>
        </is>
      </c>
      <c r="I151" s="47" t="n">
        <v>1</v>
      </c>
      <c r="J151" s="10">
        <f>IF(H151="Done","Done",
   IF(L151=TODAY(),"Due",
      IF(L151&lt;TODAY(),"Overdue",
         IF(AND(L151&gt;TODAY(),L151&lt;=TODAY()+5),"Upcoming","OnTrack"))))</f>
        <v/>
      </c>
      <c r="K151" s="49" t="inlineStr">
        <is>
          <t>Ratchadaporn &lt;Tookta&gt; M.</t>
        </is>
      </c>
      <c r="L151" s="13" t="n">
        <v>46013</v>
      </c>
      <c r="M151" s="13" t="n">
        <v>46016</v>
      </c>
      <c r="N151" s="13" t="n">
        <v>46027</v>
      </c>
      <c r="O151" s="22" t="inlineStr">
        <is>
          <t>Done</t>
        </is>
      </c>
      <c r="P151" s="48" t="n">
        <v>1</v>
      </c>
      <c r="Q151" s="10">
        <f>IF(O151="Not Start","Not Start",
   IF(AND(O151="Done",U151&gt;T151),"Done with Overdue",
      IF(O151="Done","Done",
         IF(T151=TODAY(),"Due",
            IF(T151&lt;TODAY(),"Overdue",
               IF(AND(T151&gt;TODAY(),T151&lt;=TODAY()+5),"Upcoming","On Track"))))))</f>
        <v/>
      </c>
      <c r="R151" s="3" t="inlineStr">
        <is>
          <t>Suphachai &lt;To&gt; S.</t>
        </is>
      </c>
      <c r="S151" s="13" t="n">
        <v>45980</v>
      </c>
      <c r="T151" s="13" t="n">
        <v>46031</v>
      </c>
      <c r="U151" s="13" t="n">
        <v>46031</v>
      </c>
      <c r="V151" s="13" t="n">
        <v>45964</v>
      </c>
      <c r="W151" s="13" t="n">
        <v>46080</v>
      </c>
      <c r="X151" s="98" t="inlineStr">
        <is>
          <t>09/01/2026 :ขอข้อมูลเพิ่ม
26/02/2036 : Service ส่งแก้ไขตาม Comment</t>
        </is>
      </c>
      <c r="Y151" s="99" t="inlineStr">
        <is>
          <t>Feedback</t>
        </is>
      </c>
    </row>
    <row r="152" ht="15" customHeight="1">
      <c r="A152" s="3" t="n">
        <v>67</v>
      </c>
      <c r="B152" s="3" t="n"/>
      <c r="C152" s="4" t="n"/>
      <c r="D152" s="58" t="inlineStr">
        <is>
          <t>ค้นหาใบขอความร่วมมือ</t>
        </is>
      </c>
      <c r="E152" s="27" t="inlineStr">
        <is>
          <t>Link</t>
        </is>
      </c>
      <c r="F152" s="3" t="n"/>
      <c r="G152" s="3" t="inlineStr">
        <is>
          <t>OCM</t>
        </is>
      </c>
      <c r="H152" s="22" t="inlineStr">
        <is>
          <t>Done</t>
        </is>
      </c>
      <c r="I152" s="47" t="n">
        <v>1</v>
      </c>
      <c r="J152" s="10">
        <f>IF(H152="Done","Done",
   IF(L152=TODAY(),"Due",
      IF(L152&lt;TODAY(),"Overdue",
         IF(AND(L152&gt;TODAY(),L152&lt;=TODAY()+5),"Upcoming","OnTrack"))))</f>
        <v/>
      </c>
      <c r="K152" s="49" t="inlineStr">
        <is>
          <t>Ratchadaporn &lt;Tookta&gt; M.</t>
        </is>
      </c>
      <c r="L152" s="13" t="n">
        <v>46016</v>
      </c>
      <c r="M152" s="13" t="n">
        <v>46035</v>
      </c>
      <c r="N152" s="13" t="n">
        <v>46035</v>
      </c>
      <c r="O152" s="84" t="inlineStr">
        <is>
          <t>Process</t>
        </is>
      </c>
      <c r="P152" s="48" t="n">
        <v>0</v>
      </c>
      <c r="Q152" s="10">
        <f>IF(O152="Not Start","Not Start",
   IF(AND(O152="Done",U152&gt;T152),"Done with Overdue",
      IF(O152="Done","Done",
         IF(T152=TODAY(),"Due",
            IF(T152&lt;TODAY(),"Overdue",
               IF(AND(T152&gt;TODAY(),T152&lt;=TODAY()+5),"Upcoming","On Track"))))))</f>
        <v/>
      </c>
      <c r="R152" s="3" t="inlineStr">
        <is>
          <t>Suphachai &lt;To&gt; S.</t>
        </is>
      </c>
      <c r="S152" s="13" t="n">
        <v>45980</v>
      </c>
      <c r="T152" s="13" t="n">
        <v>46042</v>
      </c>
      <c r="U152" s="3" t="n"/>
      <c r="V152" s="13" t="n">
        <v>46174</v>
      </c>
      <c r="W152" s="13" t="n">
        <v>46192</v>
      </c>
      <c r="X152" s="3" t="n"/>
      <c r="Y152" s="35" t="n"/>
    </row>
    <row r="153" ht="15" customHeight="1">
      <c r="A153" s="3" t="n">
        <v>68</v>
      </c>
      <c r="B153" s="3" t="n"/>
      <c r="C153" s="4" t="n"/>
      <c r="D153" s="58" t="inlineStr">
        <is>
          <t>ใบขอความร่วมมือ</t>
        </is>
      </c>
      <c r="E153" s="27" t="inlineStr">
        <is>
          <t>Link</t>
        </is>
      </c>
      <c r="F153" s="3" t="n"/>
      <c r="G153" s="3" t="inlineStr">
        <is>
          <t>OCM</t>
        </is>
      </c>
      <c r="H153" s="22" t="inlineStr">
        <is>
          <t>Done</t>
        </is>
      </c>
      <c r="I153" s="47" t="n">
        <v>1</v>
      </c>
      <c r="J153" s="10">
        <f>IF(H153="Done","Done",
   IF(L153=TODAY(),"Due",
      IF(L153&lt;TODAY(),"Overdue",
         IF(AND(L153&gt;TODAY(),L153&lt;=TODAY()+5),"Upcoming","OnTrack"))))</f>
        <v/>
      </c>
      <c r="K153" s="49" t="inlineStr">
        <is>
          <t>Ratchadaporn &lt;Tookta&gt; M.</t>
        </is>
      </c>
      <c r="L153" s="71" t="n">
        <v>46021</v>
      </c>
      <c r="M153" s="13" t="n">
        <v>46035</v>
      </c>
      <c r="N153" s="13" t="n">
        <v>46035</v>
      </c>
      <c r="O153" s="84" t="inlineStr">
        <is>
          <t>Process</t>
        </is>
      </c>
      <c r="P153" s="48" t="n">
        <v>0</v>
      </c>
      <c r="Q153" s="10">
        <f>IF(O153="Not Start","Not Start",
   IF(AND(O153="Done",U153&gt;T153),"Done with Overdue",
      IF(O153="Done","Done",
         IF(T153=TODAY(),"Due",
            IF(T153&lt;TODAY(),"Overdue",
               IF(AND(T153&gt;TODAY(),T153&lt;=TODAY()+5),"Upcoming","On Track"))))))</f>
        <v/>
      </c>
      <c r="R153" s="3" t="inlineStr">
        <is>
          <t>Suphachai &lt;To&gt; S.</t>
        </is>
      </c>
      <c r="S153" s="13" t="n">
        <v>45980</v>
      </c>
      <c r="T153" s="13" t="n">
        <v>46042</v>
      </c>
      <c r="U153" s="3" t="n"/>
      <c r="V153" s="13" t="n">
        <v>46174</v>
      </c>
      <c r="W153" s="13" t="n">
        <v>46192</v>
      </c>
      <c r="X153" s="3" t="n"/>
      <c r="Y153" s="35" t="n"/>
    </row>
    <row r="154" ht="15" customHeight="1">
      <c r="A154" s="3" t="n">
        <v>69</v>
      </c>
      <c r="B154" s="3" t="n"/>
      <c r="C154" s="4" t="n"/>
      <c r="D154" s="58" t="inlineStr">
        <is>
          <t>หนังสือภาคทัณฑ์</t>
        </is>
      </c>
      <c r="E154" s="27" t="inlineStr">
        <is>
          <t>Link</t>
        </is>
      </c>
      <c r="F154" s="3" t="n"/>
      <c r="G154" s="3" t="inlineStr">
        <is>
          <t>OCM</t>
        </is>
      </c>
      <c r="H154" s="22" t="inlineStr">
        <is>
          <t>Done</t>
        </is>
      </c>
      <c r="I154" s="47" t="n">
        <v>1</v>
      </c>
      <c r="J154" s="10">
        <f>IF(H154="Done","Done",
   IF(L154=TODAY(),"Due",
      IF(L154&lt;TODAY(),"Overdue",
         IF(AND(L154&gt;TODAY(),L154&lt;=TODAY()+5),"Upcoming","OnTrack"))))</f>
        <v/>
      </c>
      <c r="K154" s="49" t="inlineStr">
        <is>
          <t>Ratchadaporn &lt;Tookta&gt; M.</t>
        </is>
      </c>
      <c r="L154" s="71" t="n">
        <v>46021</v>
      </c>
      <c r="M154" s="13" t="n">
        <v>46035</v>
      </c>
      <c r="N154" s="13" t="n">
        <v>46035</v>
      </c>
      <c r="O154" s="84" t="inlineStr">
        <is>
          <t>Process</t>
        </is>
      </c>
      <c r="P154" s="48" t="n">
        <v>0</v>
      </c>
      <c r="Q154" s="10">
        <f>IF(O154="Not Start","Not Start",
   IF(AND(O154="Done",U154&gt;T154),"Done with Overdue",
      IF(O154="Done","Done",
         IF(T154=TODAY(),"Due",
            IF(T154&lt;TODAY(),"Overdue",
               IF(AND(T154&gt;TODAY(),T154&lt;=TODAY()+5),"Upcoming","On Track"))))))</f>
        <v/>
      </c>
      <c r="R154" s="3" t="inlineStr">
        <is>
          <t>Suphachai &lt;To&gt; S.</t>
        </is>
      </c>
      <c r="S154" s="13" t="n">
        <v>45980</v>
      </c>
      <c r="T154" s="13" t="n">
        <v>46042</v>
      </c>
      <c r="U154" s="3" t="n"/>
      <c r="V154" s="13" t="n">
        <v>46174</v>
      </c>
      <c r="W154" s="13" t="n">
        <v>46192</v>
      </c>
      <c r="X154" s="3" t="n"/>
      <c r="Y154" s="35" t="n"/>
    </row>
    <row r="155" ht="15" customHeight="1">
      <c r="A155" s="3" t="n">
        <v>70</v>
      </c>
      <c r="B155" s="3" t="n"/>
      <c r="C155" s="4" t="n"/>
      <c r="D155" s="58" t="inlineStr">
        <is>
          <t>บันทึกข้อตกลง</t>
        </is>
      </c>
      <c r="E155" s="27" t="inlineStr">
        <is>
          <t>Link</t>
        </is>
      </c>
      <c r="F155" s="3" t="n"/>
      <c r="G155" s="3" t="inlineStr">
        <is>
          <t>OCM</t>
        </is>
      </c>
      <c r="H155" s="22" t="inlineStr">
        <is>
          <t>Done</t>
        </is>
      </c>
      <c r="I155" s="47" t="n">
        <v>1</v>
      </c>
      <c r="J155" s="10">
        <f>IF(H155="Done","Done",
   IF(L155=TODAY(),"Due",
      IF(L155&lt;TODAY(),"Overdue",
         IF(AND(L155&gt;TODAY(),L155&lt;=TODAY()+5),"Upcoming","OnTrack"))))</f>
        <v/>
      </c>
      <c r="K155" s="49" t="inlineStr">
        <is>
          <t>Ratchadaporn &lt;Tookta&gt; M.</t>
        </is>
      </c>
      <c r="L155" s="71" t="n">
        <v>46021</v>
      </c>
      <c r="M155" s="13" t="n">
        <v>46035</v>
      </c>
      <c r="N155" s="13" t="n">
        <v>46035</v>
      </c>
      <c r="O155" s="84" t="inlineStr">
        <is>
          <t>Process</t>
        </is>
      </c>
      <c r="P155" s="48" t="n">
        <v>0</v>
      </c>
      <c r="Q155" s="10">
        <f>IF(O155="Not Start","Not Start",
   IF(AND(O155="Done",U155&gt;T155),"Done with Overdue",
      IF(O155="Done","Done",
         IF(T155=TODAY(),"Due",
            IF(T155&lt;TODAY(),"Overdue",
               IF(AND(T155&gt;TODAY(),T155&lt;=TODAY()+5),"Upcoming","On Track"))))))</f>
        <v/>
      </c>
      <c r="R155" s="3" t="inlineStr">
        <is>
          <t>Suphachai &lt;To&gt; S.</t>
        </is>
      </c>
      <c r="S155" s="13" t="n">
        <v>45980</v>
      </c>
      <c r="T155" s="13" t="n">
        <v>46042</v>
      </c>
      <c r="U155" s="3" t="n"/>
      <c r="V155" s="13" t="n">
        <v>46174</v>
      </c>
      <c r="W155" s="13" t="n">
        <v>46192</v>
      </c>
      <c r="X155" s="3" t="n"/>
      <c r="Y155" s="35" t="n"/>
    </row>
    <row r="156" ht="15" customHeight="1">
      <c r="A156" s="3" t="n"/>
      <c r="B156" s="93" t="inlineStr">
        <is>
          <t>Phase #2</t>
        </is>
      </c>
      <c r="C156" s="127" t="inlineStr">
        <is>
          <t>6. สื่อสารข้อมูล</t>
        </is>
      </c>
      <c r="D156" s="146" t="n"/>
      <c r="E156" s="3" t="n"/>
      <c r="F156" s="3" t="n"/>
      <c r="G156" s="3" t="n"/>
      <c r="H156" s="3" t="n"/>
      <c r="I156" s="45">
        <f>(SUM(I157:I158)/2)</f>
        <v/>
      </c>
      <c r="J156" s="10" t="n"/>
      <c r="K156" s="3" t="n"/>
      <c r="L156" s="13" t="n"/>
      <c r="M156" s="13" t="n"/>
      <c r="N156" s="3" t="n"/>
      <c r="O156" s="62" t="n"/>
      <c r="P156" s="45">
        <f>(SUM(P157:P158)/2)</f>
        <v/>
      </c>
      <c r="Q156" s="10" t="n"/>
      <c r="R156" s="3" t="n"/>
      <c r="S156" s="13" t="n"/>
      <c r="T156" s="13" t="n"/>
      <c r="U156" s="3" t="n"/>
      <c r="V156" s="74" t="n"/>
      <c r="W156" s="9" t="n"/>
      <c r="X156" s="3" t="n"/>
      <c r="Y156" s="35" t="n"/>
    </row>
    <row r="157" ht="15" customHeight="1">
      <c r="A157" s="3" t="n">
        <v>71</v>
      </c>
      <c r="B157" s="3" t="n"/>
      <c r="C157" s="127" t="n"/>
      <c r="D157" s="31" t="inlineStr">
        <is>
          <t>Integration (COP)</t>
        </is>
      </c>
      <c r="E157" s="3" t="n"/>
      <c r="F157" s="3" t="n"/>
      <c r="G157" s="3" t="inlineStr">
        <is>
          <t>COP</t>
        </is>
      </c>
      <c r="H157" s="3" t="inlineStr">
        <is>
          <t>Not Start</t>
        </is>
      </c>
      <c r="I157" s="48" t="n">
        <v>0</v>
      </c>
      <c r="J157" s="10">
        <f>IF(H157="Done","Done",
   IF(L157=TODAY(),"Due",
      IF(L157&lt;TODAY(),"Overdue",
         IF(AND(L157&gt;TODAY(),L157&lt;=TODAY()+5),"Upcoming","OnTrack"))))</f>
        <v/>
      </c>
      <c r="K157" s="3" t="inlineStr">
        <is>
          <t>Anupong &lt;Moo&gt; C.</t>
        </is>
      </c>
      <c r="L157" s="13" t="n">
        <v>46115</v>
      </c>
      <c r="M157" s="13" t="n"/>
      <c r="N157" s="3" t="n"/>
      <c r="O157" s="62" t="inlineStr">
        <is>
          <t>Not Start</t>
        </is>
      </c>
      <c r="P157" s="48" t="n">
        <v>0</v>
      </c>
      <c r="Q157" s="10">
        <f>IF(O157="Not Start","Not Start",
   IF(AND(O157="Done",U157&gt;T157),"Done with Overdue",
      IF(O157="Done","Done",
         IF(T157=TODAY(),"Due",
            IF(T157&lt;TODAY(),"Overdue",
               IF(AND(T157&gt;TODAY(),T157&lt;=TODAY()+5),"Upcoming","On Track"))))))</f>
        <v/>
      </c>
      <c r="R157" s="3" t="inlineStr">
        <is>
          <t>Suphachai &lt;To&gt; S.</t>
        </is>
      </c>
      <c r="S157" s="13" t="n">
        <v>46087</v>
      </c>
      <c r="T157" s="13" t="n"/>
      <c r="U157" s="3" t="n"/>
      <c r="V157" s="41" t="n">
        <v>46055</v>
      </c>
      <c r="W157" s="13" t="n">
        <v>46087</v>
      </c>
      <c r="X157" s="62" t="n"/>
      <c r="Y157" s="35" t="n"/>
    </row>
    <row r="158" ht="15" customHeight="1">
      <c r="A158" s="3" t="n">
        <v>72</v>
      </c>
      <c r="B158" s="3" t="n"/>
      <c r="C158" s="4" t="n"/>
      <c r="D158" s="31" t="inlineStr">
        <is>
          <t>LLDD</t>
        </is>
      </c>
      <c r="E158" s="3" t="n"/>
      <c r="F158" s="3" t="n"/>
      <c r="G158" s="3" t="inlineStr">
        <is>
          <t>COP</t>
        </is>
      </c>
      <c r="H158" s="3" t="inlineStr">
        <is>
          <t>Not Start</t>
        </is>
      </c>
      <c r="I158" s="48" t="n">
        <v>0</v>
      </c>
      <c r="J158" s="10">
        <f>IF(H158="Done","Done",
   IF(L158=TODAY(),"Due",
      IF(L158&lt;TODAY(),"Overdue",
         IF(AND(L158&gt;TODAY(),L158&lt;=TODAY()+5),"Upcoming","OnTrack"))))</f>
        <v/>
      </c>
      <c r="K158" s="3" t="inlineStr">
        <is>
          <t>Anupong &lt;Moo&gt; C.</t>
        </is>
      </c>
      <c r="L158" s="13" t="n">
        <v>46115</v>
      </c>
      <c r="M158" s="13" t="n"/>
      <c r="N158" s="3" t="n"/>
      <c r="O158" s="62" t="inlineStr">
        <is>
          <t>Not Start</t>
        </is>
      </c>
      <c r="P158" s="48" t="n">
        <v>0</v>
      </c>
      <c r="Q158" s="3">
        <f>IF(O158="Not Start","Not Start",
   IF(AND(O158="Done",U158&gt;T158),"Done with Overdue",
      IF(O158="Done","Done",
         IF(T158=TODAY(),"Due",
            IF(T158&lt;TODAY(),"Overdue",
               IF(AND(T158&gt;TODAY(),T158&lt;=TODAY()+5),"Upcoming","On Track"))))))</f>
        <v/>
      </c>
      <c r="R158" s="75" t="inlineStr">
        <is>
          <t>Suphachai &lt;To&gt; S.</t>
        </is>
      </c>
      <c r="S158" s="13" t="n">
        <v>46087</v>
      </c>
      <c r="T158" s="76" t="n"/>
      <c r="U158" s="75" t="n"/>
      <c r="V158" s="13" t="n">
        <v>46055</v>
      </c>
      <c r="W158" s="13" t="n">
        <v>46087</v>
      </c>
      <c r="X158" s="62" t="n"/>
      <c r="Y158" s="35" t="n"/>
    </row>
  </sheetData>
  <autoFilter ref="A1:Y129"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1" hiddenButton="0" showButton="0"/>
  </autoFilter>
  <mergeCells count="26">
    <mergeCell ref="N1:N3"/>
    <mergeCell ref="G1:G3"/>
    <mergeCell ref="C156:D156"/>
    <mergeCell ref="C74:D74"/>
    <mergeCell ref="X1:X3"/>
    <mergeCell ref="C4:D4"/>
    <mergeCell ref="D1:D3"/>
    <mergeCell ref="F1:F3"/>
    <mergeCell ref="C112:D112"/>
    <mergeCell ref="C65:D65"/>
    <mergeCell ref="V1:W1"/>
    <mergeCell ref="C56:D56"/>
    <mergeCell ref="W2:W3"/>
    <mergeCell ref="A1:A3"/>
    <mergeCell ref="C11:D11"/>
    <mergeCell ref="C76:D76"/>
    <mergeCell ref="E1:E3"/>
    <mergeCell ref="O1:U1"/>
    <mergeCell ref="H1:M1"/>
    <mergeCell ref="B1:B3"/>
    <mergeCell ref="Y1:Y3"/>
    <mergeCell ref="C1:C3"/>
    <mergeCell ref="C67:D67"/>
    <mergeCell ref="C28:D28"/>
    <mergeCell ref="V2:V3"/>
    <mergeCell ref="C136:D136"/>
  </mergeCells>
  <conditionalFormatting sqref="J10:J158">
    <cfRule type="cellIs" priority="1193" operator="equal" dxfId="3">
      <formula>"Overdue"</formula>
    </cfRule>
    <cfRule type="cellIs" priority="1192" operator="equal">
      <formula>"OnTrack"</formula>
    </cfRule>
    <cfRule type="cellIs" priority="1191" operator="equal" dxfId="2">
      <formula>"Upcoming"</formula>
    </cfRule>
    <cfRule type="cellIs" priority="1190" operator="equal" dxfId="1">
      <formula>"Done"</formula>
    </cfRule>
    <cfRule type="cellIs" priority="989" operator="equal" dxfId="58">
      <formula>"Due"</formula>
    </cfRule>
  </conditionalFormatting>
  <conditionalFormatting sqref="J57:J64">
    <cfRule type="cellIs" priority="1145" operator="equal" dxfId="3">
      <formula>"Overdue"</formula>
    </cfRule>
    <cfRule type="cellIs" priority="1144" operator="equal">
      <formula>"OnTrack"</formula>
    </cfRule>
    <cfRule type="cellIs" priority="1143" operator="equal" dxfId="2">
      <formula>"Upcoming"</formula>
    </cfRule>
    <cfRule type="cellIs" priority="1142" operator="equal" dxfId="1">
      <formula>"Done"</formula>
    </cfRule>
  </conditionalFormatting>
  <conditionalFormatting sqref="J68">
    <cfRule type="cellIs" priority="1133" operator="equal" dxfId="3">
      <formula>"Overdue"</formula>
    </cfRule>
    <cfRule type="cellIs" priority="1132" operator="equal">
      <formula>"OnTrack"</formula>
    </cfRule>
    <cfRule type="cellIs" priority="1131" operator="equal" dxfId="2">
      <formula>"Upcoming"</formula>
    </cfRule>
    <cfRule type="cellIs" priority="1130" operator="equal" dxfId="1">
      <formula>"Done"</formula>
    </cfRule>
    <cfRule type="cellIs" priority="519" operator="equal" dxfId="3">
      <formula>"Overdue"</formula>
    </cfRule>
    <cfRule type="cellIs" priority="518" operator="equal">
      <formula>"OnTrack"</formula>
    </cfRule>
    <cfRule type="cellIs" priority="517" operator="equal" dxfId="2">
      <formula>"Upcoming"</formula>
    </cfRule>
    <cfRule type="cellIs" priority="516" operator="equal" dxfId="1">
      <formula>"Done"</formula>
    </cfRule>
  </conditionalFormatting>
  <conditionalFormatting sqref="J69">
    <cfRule type="cellIs" priority="1129" operator="equal" dxfId="3">
      <formula>"Overdue"</formula>
    </cfRule>
    <cfRule type="cellIs" priority="1128" operator="equal">
      <formula>"OnTrack"</formula>
    </cfRule>
    <cfRule type="cellIs" priority="1127" operator="equal" dxfId="2">
      <formula>"Upcoming"</formula>
    </cfRule>
    <cfRule type="cellIs" priority="1126" operator="equal" dxfId="1">
      <formula>"Done"</formula>
    </cfRule>
    <cfRule type="cellIs" priority="515" operator="equal" dxfId="3">
      <formula>"Overdue"</formula>
    </cfRule>
    <cfRule type="cellIs" priority="514" operator="equal">
      <formula>"OnTrack"</formula>
    </cfRule>
    <cfRule type="cellIs" priority="513" operator="equal" dxfId="2">
      <formula>"Upcoming"</formula>
    </cfRule>
    <cfRule type="cellIs" priority="512" operator="equal" dxfId="1">
      <formula>"Done"</formula>
    </cfRule>
  </conditionalFormatting>
  <conditionalFormatting sqref="J70">
    <cfRule type="cellIs" priority="1125" operator="equal" dxfId="3">
      <formula>"Overdue"</formula>
    </cfRule>
    <cfRule type="cellIs" priority="1124" operator="equal">
      <formula>"OnTrack"</formula>
    </cfRule>
    <cfRule type="cellIs" priority="1123" operator="equal" dxfId="2">
      <formula>"Upcoming"</formula>
    </cfRule>
    <cfRule type="cellIs" priority="1122" operator="equal" dxfId="1">
      <formula>"Done"</formula>
    </cfRule>
  </conditionalFormatting>
  <conditionalFormatting sqref="J71:J72">
    <cfRule type="cellIs" priority="1121" operator="equal" dxfId="3">
      <formula>"Overdue"</formula>
    </cfRule>
    <cfRule type="cellIs" priority="1120" operator="equal">
      <formula>"OnTrack"</formula>
    </cfRule>
    <cfRule type="cellIs" priority="1119" operator="equal" dxfId="2">
      <formula>"Upcoming"</formula>
    </cfRule>
    <cfRule type="cellIs" priority="1118" operator="equal" dxfId="1">
      <formula>"Done"</formula>
    </cfRule>
  </conditionalFormatting>
  <conditionalFormatting sqref="J73">
    <cfRule type="cellIs" priority="1117" operator="equal" dxfId="3">
      <formula>"Overdue"</formula>
    </cfRule>
    <cfRule type="cellIs" priority="1116" operator="equal">
      <formula>"OnTrack"</formula>
    </cfRule>
    <cfRule type="cellIs" priority="1115" operator="equal" dxfId="2">
      <formula>"Upcoming"</formula>
    </cfRule>
    <cfRule type="cellIs" priority="1114" operator="equal" dxfId="1">
      <formula>"Done"</formula>
    </cfRule>
  </conditionalFormatting>
  <conditionalFormatting sqref="J77">
    <cfRule type="cellIs" priority="1109" operator="equal" dxfId="3">
      <formula>"Overdue"</formula>
    </cfRule>
    <cfRule type="cellIs" priority="1108" operator="equal">
      <formula>"OnTrack"</formula>
    </cfRule>
    <cfRule type="cellIs" priority="1107" operator="equal" dxfId="2">
      <formula>"Upcoming"</formula>
    </cfRule>
    <cfRule type="cellIs" priority="1106" operator="equal" dxfId="1">
      <formula>"Done"</formula>
    </cfRule>
  </conditionalFormatting>
  <conditionalFormatting sqref="J78">
    <cfRule type="cellIs" priority="1105" operator="equal" dxfId="3">
      <formula>"Overdue"</formula>
    </cfRule>
    <cfRule type="cellIs" priority="1104" operator="equal">
      <formula>"OnTrack"</formula>
    </cfRule>
    <cfRule type="cellIs" priority="1103" operator="equal" dxfId="2">
      <formula>"Upcoming"</formula>
    </cfRule>
    <cfRule type="cellIs" priority="1102" operator="equal" dxfId="1">
      <formula>"Done"</formula>
    </cfRule>
  </conditionalFormatting>
  <conditionalFormatting sqref="J157">
    <cfRule type="cellIs" priority="1101" operator="equal" dxfId="3">
      <formula>"Overdue"</formula>
    </cfRule>
    <cfRule type="cellIs" priority="1100" operator="equal">
      <formula>"OnTrack"</formula>
    </cfRule>
    <cfRule type="cellIs" priority="1099" operator="equal" dxfId="2">
      <formula>"Upcoming"</formula>
    </cfRule>
    <cfRule type="cellIs" priority="1098" operator="equal" dxfId="1">
      <formula>"Done"</formula>
    </cfRule>
  </conditionalFormatting>
  <conditionalFormatting sqref="J158">
    <cfRule type="cellIs" priority="1097" operator="equal" dxfId="3">
      <formula>"Overdue"</formula>
    </cfRule>
    <cfRule type="cellIs" priority="1096" operator="equal">
      <formula>"OnTrack"</formula>
    </cfRule>
    <cfRule type="cellIs" priority="1095" operator="equal" dxfId="2">
      <formula>"Upcoming"</formula>
    </cfRule>
    <cfRule type="cellIs" priority="1094" operator="equal" dxfId="1">
      <formula>"Done"</formula>
    </cfRule>
  </conditionalFormatting>
  <conditionalFormatting sqref="Q5:Q10">
    <cfRule type="cellIs" priority="1093" operator="equal" dxfId="3">
      <formula>"Overdue"</formula>
    </cfRule>
    <cfRule type="cellIs" priority="1092" operator="equal">
      <formula>"OnTrack"</formula>
    </cfRule>
    <cfRule type="cellIs" priority="1091" operator="equal" dxfId="2">
      <formula>"Upcoming"</formula>
    </cfRule>
    <cfRule type="cellIs" priority="1090" operator="equal" dxfId="1">
      <formula>"Done"</formula>
    </cfRule>
    <cfRule type="cellIs" priority="511" operator="equal" dxfId="0">
      <formula>"Done with Overdue"</formula>
    </cfRule>
  </conditionalFormatting>
  <conditionalFormatting sqref="Q66">
    <cfRule type="cellIs" priority="1017" operator="equal" dxfId="3">
      <formula>"Overdue"</formula>
    </cfRule>
    <cfRule type="cellIs" priority="1016" operator="equal" dxfId="582">
      <formula>"OnTrack"</formula>
    </cfRule>
    <cfRule type="cellIs" priority="1015" operator="equal" dxfId="2">
      <formula>"Upcoming"</formula>
    </cfRule>
    <cfRule type="cellIs" priority="1014" operator="equal" dxfId="1">
      <formula>"Done"</formula>
    </cfRule>
  </conditionalFormatting>
  <conditionalFormatting sqref="J66">
    <cfRule type="cellIs" priority="972" operator="equal" dxfId="3">
      <formula>"Overdue"</formula>
    </cfRule>
    <cfRule type="cellIs" priority="971" operator="equal">
      <formula>"OnTrack"</formula>
    </cfRule>
    <cfRule type="cellIs" priority="970" operator="equal" dxfId="2">
      <formula>"Upcoming"</formula>
    </cfRule>
    <cfRule type="cellIs" priority="969" operator="equal" dxfId="1">
      <formula>"Done"</formula>
    </cfRule>
  </conditionalFormatting>
  <conditionalFormatting sqref="J137">
    <cfRule type="cellIs" priority="968" operator="equal" dxfId="3">
      <formula>"Overdue"</formula>
    </cfRule>
    <cfRule type="cellIs" priority="967" operator="equal">
      <formula>"OnTrack"</formula>
    </cfRule>
    <cfRule type="cellIs" priority="966" operator="equal" dxfId="2">
      <formula>"Upcoming"</formula>
    </cfRule>
    <cfRule type="cellIs" priority="965" operator="equal" dxfId="1">
      <formula>"Done"</formula>
    </cfRule>
    <cfRule type="cellIs" priority="226" operator="equal" dxfId="3">
      <formula>"Overdue"</formula>
    </cfRule>
    <cfRule type="cellIs" priority="225" operator="equal">
      <formula>"OnTrack"</formula>
    </cfRule>
    <cfRule type="cellIs" priority="224" operator="equal" dxfId="2">
      <formula>"Upcoming"</formula>
    </cfRule>
    <cfRule type="cellIs" priority="223" operator="equal" dxfId="1">
      <formula>"Done"</formula>
    </cfRule>
  </conditionalFormatting>
  <conditionalFormatting sqref="J138">
    <cfRule type="cellIs" priority="964" operator="equal" dxfId="3">
      <formula>"Overdue"</formula>
    </cfRule>
    <cfRule type="cellIs" priority="963" operator="equal">
      <formula>"OnTrack"</formula>
    </cfRule>
    <cfRule type="cellIs" priority="962" operator="equal" dxfId="2">
      <formula>"Upcoming"</formula>
    </cfRule>
    <cfRule type="cellIs" priority="961" operator="equal" dxfId="1">
      <formula>"Done"</formula>
    </cfRule>
    <cfRule type="cellIs" priority="222" operator="equal" dxfId="3">
      <formula>"Overdue"</formula>
    </cfRule>
    <cfRule type="cellIs" priority="221" operator="equal">
      <formula>"OnTrack"</formula>
    </cfRule>
    <cfRule type="cellIs" priority="220" operator="equal" dxfId="2">
      <formula>"Upcoming"</formula>
    </cfRule>
    <cfRule type="cellIs" priority="219" operator="equal" dxfId="1">
      <formula>"Done"</formula>
    </cfRule>
  </conditionalFormatting>
  <conditionalFormatting sqref="J139">
    <cfRule type="cellIs" priority="960" operator="equal" dxfId="3">
      <formula>"Overdue"</formula>
    </cfRule>
    <cfRule type="cellIs" priority="959" operator="equal">
      <formula>"OnTrack"</formula>
    </cfRule>
    <cfRule type="cellIs" priority="958" operator="equal" dxfId="2">
      <formula>"Upcoming"</formula>
    </cfRule>
    <cfRule type="cellIs" priority="957" operator="equal" dxfId="1">
      <formula>"Done"</formula>
    </cfRule>
  </conditionalFormatting>
  <conditionalFormatting sqref="J140">
    <cfRule type="cellIs" priority="956" operator="equal" dxfId="3">
      <formula>"Overdue"</formula>
    </cfRule>
    <cfRule type="cellIs" priority="955" operator="equal">
      <formula>"OnTrack"</formula>
    </cfRule>
    <cfRule type="cellIs" priority="954" operator="equal" dxfId="2">
      <formula>"Upcoming"</formula>
    </cfRule>
    <cfRule type="cellIs" priority="953" operator="equal" dxfId="1">
      <formula>"Done"</formula>
    </cfRule>
  </conditionalFormatting>
  <conditionalFormatting sqref="J141">
    <cfRule type="cellIs" priority="952" operator="equal" dxfId="3">
      <formula>"Overdue"</formula>
    </cfRule>
    <cfRule type="cellIs" priority="951" operator="equal">
      <formula>"OnTrack"</formula>
    </cfRule>
    <cfRule type="cellIs" priority="950" operator="equal" dxfId="2">
      <formula>"Upcoming"</formula>
    </cfRule>
    <cfRule type="cellIs" priority="949" operator="equal" dxfId="1">
      <formula>"Done"</formula>
    </cfRule>
  </conditionalFormatting>
  <conditionalFormatting sqref="J142">
    <cfRule type="cellIs" priority="948" operator="equal" dxfId="3">
      <formula>"Overdue"</formula>
    </cfRule>
    <cfRule type="cellIs" priority="947" operator="equal">
      <formula>"OnTrack"</formula>
    </cfRule>
    <cfRule type="cellIs" priority="946" operator="equal" dxfId="2">
      <formula>"Upcoming"</formula>
    </cfRule>
    <cfRule type="cellIs" priority="945" operator="equal" dxfId="1">
      <formula>"Done"</formula>
    </cfRule>
  </conditionalFormatting>
  <conditionalFormatting sqref="J143">
    <cfRule type="cellIs" priority="944" operator="equal" dxfId="3">
      <formula>"Overdue"</formula>
    </cfRule>
    <cfRule type="cellIs" priority="943" operator="equal">
      <formula>"OnTrack"</formula>
    </cfRule>
    <cfRule type="cellIs" priority="942" operator="equal" dxfId="2">
      <formula>"Upcoming"</formula>
    </cfRule>
    <cfRule type="cellIs" priority="941" operator="equal" dxfId="1">
      <formula>"Done"</formula>
    </cfRule>
  </conditionalFormatting>
  <conditionalFormatting sqref="J144">
    <cfRule type="cellIs" priority="940" operator="equal" dxfId="3">
      <formula>"Overdue"</formula>
    </cfRule>
    <cfRule type="cellIs" priority="939" operator="equal">
      <formula>"OnTrack"</formula>
    </cfRule>
    <cfRule type="cellIs" priority="938" operator="equal" dxfId="2">
      <formula>"Upcoming"</formula>
    </cfRule>
    <cfRule type="cellIs" priority="937" operator="equal" dxfId="1">
      <formula>"Done"</formula>
    </cfRule>
  </conditionalFormatting>
  <conditionalFormatting sqref="J145">
    <cfRule type="cellIs" priority="936" operator="equal" dxfId="3">
      <formula>"Overdue"</formula>
    </cfRule>
    <cfRule type="cellIs" priority="935" operator="equal">
      <formula>"OnTrack"</formula>
    </cfRule>
    <cfRule type="cellIs" priority="934" operator="equal" dxfId="2">
      <formula>"Upcoming"</formula>
    </cfRule>
    <cfRule type="cellIs" priority="933" operator="equal" dxfId="1">
      <formula>"Done"</formula>
    </cfRule>
  </conditionalFormatting>
  <conditionalFormatting sqref="J146">
    <cfRule type="cellIs" priority="932" operator="equal" dxfId="3">
      <formula>"Overdue"</formula>
    </cfRule>
    <cfRule type="cellIs" priority="931" operator="equal">
      <formula>"OnTrack"</formula>
    </cfRule>
    <cfRule type="cellIs" priority="930" operator="equal" dxfId="2">
      <formula>"Upcoming"</formula>
    </cfRule>
    <cfRule type="cellIs" priority="929" operator="equal" dxfId="1">
      <formula>"Done"</formula>
    </cfRule>
  </conditionalFormatting>
  <conditionalFormatting sqref="J147">
    <cfRule type="cellIs" priority="928" operator="equal" dxfId="3">
      <formula>"Overdue"</formula>
    </cfRule>
    <cfRule type="cellIs" priority="927" operator="equal">
      <formula>"OnTrack"</formula>
    </cfRule>
    <cfRule type="cellIs" priority="926" operator="equal" dxfId="2">
      <formula>"Upcoming"</formula>
    </cfRule>
    <cfRule type="cellIs" priority="925" operator="equal" dxfId="1">
      <formula>"Done"</formula>
    </cfRule>
  </conditionalFormatting>
  <conditionalFormatting sqref="J148">
    <cfRule type="cellIs" priority="924" operator="equal" dxfId="3">
      <formula>"Overdue"</formula>
    </cfRule>
    <cfRule type="cellIs" priority="923" operator="equal">
      <formula>"OnTrack"</formula>
    </cfRule>
    <cfRule type="cellIs" priority="922" operator="equal" dxfId="2">
      <formula>"Upcoming"</formula>
    </cfRule>
    <cfRule type="cellIs" priority="921" operator="equal" dxfId="1">
      <formula>"Done"</formula>
    </cfRule>
  </conditionalFormatting>
  <conditionalFormatting sqref="J149">
    <cfRule type="cellIs" priority="920" operator="equal" dxfId="3">
      <formula>"Overdue"</formula>
    </cfRule>
    <cfRule type="cellIs" priority="919" operator="equal">
      <formula>"OnTrack"</formula>
    </cfRule>
    <cfRule type="cellIs" priority="918" operator="equal" dxfId="2">
      <formula>"Upcoming"</formula>
    </cfRule>
    <cfRule type="cellIs" priority="917" operator="equal" dxfId="1">
      <formula>"Done"</formula>
    </cfRule>
  </conditionalFormatting>
  <conditionalFormatting sqref="J150">
    <cfRule type="cellIs" priority="916" operator="equal" dxfId="3">
      <formula>"Overdue"</formula>
    </cfRule>
    <cfRule type="cellIs" priority="915" operator="equal">
      <formula>"OnTrack"</formula>
    </cfRule>
    <cfRule type="cellIs" priority="914" operator="equal" dxfId="2">
      <formula>"Upcoming"</formula>
    </cfRule>
    <cfRule type="cellIs" priority="913" operator="equal" dxfId="1">
      <formula>"Done"</formula>
    </cfRule>
  </conditionalFormatting>
  <conditionalFormatting sqref="J151">
    <cfRule type="cellIs" priority="912" operator="equal" dxfId="3">
      <formula>"Overdue"</formula>
    </cfRule>
    <cfRule type="cellIs" priority="911" operator="equal">
      <formula>"OnTrack"</formula>
    </cfRule>
    <cfRule type="cellIs" priority="910" operator="equal" dxfId="2">
      <formula>"Upcoming"</formula>
    </cfRule>
    <cfRule type="cellIs" priority="909" operator="equal" dxfId="1">
      <formula>"Done"</formula>
    </cfRule>
  </conditionalFormatting>
  <conditionalFormatting sqref="J154">
    <cfRule type="cellIs" priority="908" operator="equal" dxfId="3">
      <formula>"Overdue"</formula>
    </cfRule>
    <cfRule type="cellIs" priority="907" operator="equal">
      <formula>"OnTrack"</formula>
    </cfRule>
    <cfRule type="cellIs" priority="906" operator="equal" dxfId="2">
      <formula>"Upcoming"</formula>
    </cfRule>
    <cfRule type="cellIs" priority="905" operator="equal" dxfId="1">
      <formula>"Done"</formula>
    </cfRule>
  </conditionalFormatting>
  <conditionalFormatting sqref="J155">
    <cfRule type="cellIs" priority="904" operator="equal" dxfId="3">
      <formula>"Overdue"</formula>
    </cfRule>
    <cfRule type="cellIs" priority="903" operator="equal">
      <formula>"OnTrack"</formula>
    </cfRule>
    <cfRule type="cellIs" priority="902" operator="equal" dxfId="2">
      <formula>"Upcoming"</formula>
    </cfRule>
    <cfRule type="cellIs" priority="901" operator="equal" dxfId="1">
      <formula>"Done"</formula>
    </cfRule>
  </conditionalFormatting>
  <conditionalFormatting sqref="J5">
    <cfRule type="cellIs" priority="624" operator="equal" dxfId="3">
      <formula>"Overdue"</formula>
    </cfRule>
    <cfRule type="cellIs" priority="623" operator="equal">
      <formula>"OnTrack"</formula>
    </cfRule>
    <cfRule type="cellIs" priority="622" operator="equal" dxfId="2">
      <formula>"Upcoming"</formula>
    </cfRule>
    <cfRule type="cellIs" priority="621" operator="equal" dxfId="1">
      <formula>"Done"</formula>
    </cfRule>
    <cfRule type="cellIs" priority="620" operator="equal" dxfId="3">
      <formula>"Overdue"</formula>
    </cfRule>
    <cfRule type="cellIs" priority="619" operator="equal">
      <formula>"OnTrack"</formula>
    </cfRule>
    <cfRule type="cellIs" priority="618" operator="equal" dxfId="2">
      <formula>"Upcoming"</formula>
    </cfRule>
    <cfRule type="cellIs" priority="617" operator="equal" dxfId="1">
      <formula>"Done"</formula>
    </cfRule>
    <cfRule type="cellIs" priority="616" operator="equal" dxfId="58">
      <formula>"Due"</formula>
    </cfRule>
  </conditionalFormatting>
  <conditionalFormatting sqref="J6">
    <cfRule type="cellIs" priority="615" operator="equal" dxfId="3">
      <formula>"Overdue"</formula>
    </cfRule>
    <cfRule type="cellIs" priority="614" operator="equal">
      <formula>"OnTrack"</formula>
    </cfRule>
    <cfRule type="cellIs" priority="613" operator="equal" dxfId="2">
      <formula>"Upcoming"</formula>
    </cfRule>
    <cfRule type="cellIs" priority="612" operator="equal" dxfId="1">
      <formula>"Done"</formula>
    </cfRule>
    <cfRule type="cellIs" priority="611" operator="equal" dxfId="3">
      <formula>"Overdue"</formula>
    </cfRule>
    <cfRule type="cellIs" priority="610" operator="equal">
      <formula>"OnTrack"</formula>
    </cfRule>
    <cfRule type="cellIs" priority="609" operator="equal" dxfId="2">
      <formula>"Upcoming"</formula>
    </cfRule>
    <cfRule type="cellIs" priority="608" operator="equal" dxfId="1">
      <formula>"Done"</formula>
    </cfRule>
    <cfRule type="cellIs" priority="607" operator="equal" dxfId="58">
      <formula>"Due"</formula>
    </cfRule>
  </conditionalFormatting>
  <conditionalFormatting sqref="J7">
    <cfRule type="cellIs" priority="606" operator="equal" dxfId="3">
      <formula>"Overdue"</formula>
    </cfRule>
    <cfRule type="cellIs" priority="605" operator="equal">
      <formula>"OnTrack"</formula>
    </cfRule>
    <cfRule type="cellIs" priority="604" operator="equal" dxfId="2">
      <formula>"Upcoming"</formula>
    </cfRule>
    <cfRule type="cellIs" priority="603" operator="equal" dxfId="1">
      <formula>"Done"</formula>
    </cfRule>
    <cfRule type="cellIs" priority="602" operator="equal" dxfId="3">
      <formula>"Overdue"</formula>
    </cfRule>
    <cfRule type="cellIs" priority="601" operator="equal">
      <formula>"OnTrack"</formula>
    </cfRule>
    <cfRule type="cellIs" priority="600" operator="equal" dxfId="2">
      <formula>"Upcoming"</formula>
    </cfRule>
    <cfRule type="cellIs" priority="599" operator="equal" dxfId="1">
      <formula>"Done"</formula>
    </cfRule>
    <cfRule type="cellIs" priority="598" operator="equal" dxfId="58">
      <formula>"Due"</formula>
    </cfRule>
  </conditionalFormatting>
  <conditionalFormatting sqref="J8">
    <cfRule type="cellIs" priority="597" operator="equal" dxfId="3">
      <formula>"Overdue"</formula>
    </cfRule>
    <cfRule type="cellIs" priority="596" operator="equal">
      <formula>"OnTrack"</formula>
    </cfRule>
    <cfRule type="cellIs" priority="595" operator="equal" dxfId="2">
      <formula>"Upcoming"</formula>
    </cfRule>
    <cfRule type="cellIs" priority="594" operator="equal" dxfId="1">
      <formula>"Done"</formula>
    </cfRule>
    <cfRule type="cellIs" priority="593" operator="equal" dxfId="3">
      <formula>"Overdue"</formula>
    </cfRule>
    <cfRule type="cellIs" priority="592" operator="equal">
      <formula>"OnTrack"</formula>
    </cfRule>
    <cfRule type="cellIs" priority="591" operator="equal" dxfId="2">
      <formula>"Upcoming"</formula>
    </cfRule>
    <cfRule type="cellIs" priority="590" operator="equal" dxfId="1">
      <formula>"Done"</formula>
    </cfRule>
    <cfRule type="cellIs" priority="589" operator="equal" dxfId="58">
      <formula>"Due"</formula>
    </cfRule>
  </conditionalFormatting>
  <conditionalFormatting sqref="J9">
    <cfRule type="cellIs" priority="588" operator="equal" dxfId="3">
      <formula>"Overdue"</formula>
    </cfRule>
    <cfRule type="cellIs" priority="587" operator="equal">
      <formula>"OnTrack"</formula>
    </cfRule>
    <cfRule type="cellIs" priority="586" operator="equal" dxfId="2">
      <formula>"Upcoming"</formula>
    </cfRule>
    <cfRule type="cellIs" priority="585" operator="equal" dxfId="1">
      <formula>"Done"</formula>
    </cfRule>
    <cfRule type="cellIs" priority="584" operator="equal" dxfId="3">
      <formula>"Overdue"</formula>
    </cfRule>
    <cfRule type="cellIs" priority="583" operator="equal">
      <formula>"OnTrack"</formula>
    </cfRule>
    <cfRule type="cellIs" priority="582" operator="equal" dxfId="2">
      <formula>"Upcoming"</formula>
    </cfRule>
    <cfRule type="cellIs" priority="581" operator="equal" dxfId="1">
      <formula>"Done"</formula>
    </cfRule>
    <cfRule type="cellIs" priority="580" operator="equal" dxfId="58">
      <formula>"Due"</formula>
    </cfRule>
  </conditionalFormatting>
  <conditionalFormatting sqref="J10">
    <cfRule type="cellIs" priority="579" operator="equal" dxfId="3">
      <formula>"Overdue"</formula>
    </cfRule>
    <cfRule type="cellIs" priority="578" operator="equal">
      <formula>"OnTrack"</formula>
    </cfRule>
    <cfRule type="cellIs" priority="577" operator="equal" dxfId="2">
      <formula>"Upcoming"</formula>
    </cfRule>
    <cfRule type="cellIs" priority="576" operator="equal" dxfId="1">
      <formula>"Done"</formula>
    </cfRule>
  </conditionalFormatting>
  <conditionalFormatting sqref="J12">
    <cfRule type="cellIs" priority="575" operator="equal" dxfId="3">
      <formula>"Overdue"</formula>
    </cfRule>
    <cfRule type="cellIs" priority="574" operator="equal">
      <formula>"OnTrack"</formula>
    </cfRule>
    <cfRule type="cellIs" priority="573" operator="equal" dxfId="2">
      <formula>"Upcoming"</formula>
    </cfRule>
    <cfRule type="cellIs" priority="572" operator="equal" dxfId="1">
      <formula>"Done"</formula>
    </cfRule>
  </conditionalFormatting>
  <conditionalFormatting sqref="J13">
    <cfRule type="cellIs" priority="571" operator="equal" dxfId="3">
      <formula>"Overdue"</formula>
    </cfRule>
    <cfRule type="cellIs" priority="570" operator="equal">
      <formula>"OnTrack"</formula>
    </cfRule>
    <cfRule type="cellIs" priority="569" operator="equal" dxfId="2">
      <formula>"Upcoming"</formula>
    </cfRule>
    <cfRule type="cellIs" priority="568" operator="equal" dxfId="1">
      <formula>"Done"</formula>
    </cfRule>
  </conditionalFormatting>
  <conditionalFormatting sqref="J14">
    <cfRule type="cellIs" priority="567" operator="equal" dxfId="3">
      <formula>"Overdue"</formula>
    </cfRule>
    <cfRule type="cellIs" priority="566" operator="equal">
      <formula>"OnTrack"</formula>
    </cfRule>
    <cfRule type="cellIs" priority="565" operator="equal" dxfId="2">
      <formula>"Upcoming"</formula>
    </cfRule>
    <cfRule type="cellIs" priority="564" operator="equal" dxfId="1">
      <formula>"Done"</formula>
    </cfRule>
  </conditionalFormatting>
  <conditionalFormatting sqref="J15">
    <cfRule type="cellIs" priority="563" operator="equal" dxfId="3">
      <formula>"Overdue"</formula>
    </cfRule>
    <cfRule type="cellIs" priority="562" operator="equal">
      <formula>"OnTrack"</formula>
    </cfRule>
    <cfRule type="cellIs" priority="561" operator="equal" dxfId="2">
      <formula>"Upcoming"</formula>
    </cfRule>
    <cfRule type="cellIs" priority="560" operator="equal" dxfId="1">
      <formula>"Done"</formula>
    </cfRule>
  </conditionalFormatting>
  <conditionalFormatting sqref="J17">
    <cfRule type="cellIs" priority="559" operator="equal" dxfId="3">
      <formula>"Overdue"</formula>
    </cfRule>
    <cfRule type="cellIs" priority="558" operator="equal">
      <formula>"OnTrack"</formula>
    </cfRule>
    <cfRule type="cellIs" priority="557" operator="equal" dxfId="2">
      <formula>"Upcoming"</formula>
    </cfRule>
    <cfRule type="cellIs" priority="556" operator="equal" dxfId="1">
      <formula>"Done"</formula>
    </cfRule>
  </conditionalFormatting>
  <conditionalFormatting sqref="J18:J22">
    <cfRule type="cellIs" priority="555" operator="equal" dxfId="3">
      <formula>"Overdue"</formula>
    </cfRule>
    <cfRule type="cellIs" priority="554" operator="equal">
      <formula>"OnTrack"</formula>
    </cfRule>
    <cfRule type="cellIs" priority="553" operator="equal" dxfId="2">
      <formula>"Upcoming"</formula>
    </cfRule>
    <cfRule type="cellIs" priority="552" operator="equal" dxfId="1">
      <formula>"Done"</formula>
    </cfRule>
  </conditionalFormatting>
  <conditionalFormatting sqref="J23">
    <cfRule type="cellIs" priority="551" operator="equal" dxfId="3">
      <formula>"Overdue"</formula>
    </cfRule>
    <cfRule type="cellIs" priority="550" operator="equal">
      <formula>"OnTrack"</formula>
    </cfRule>
    <cfRule type="cellIs" priority="549" operator="equal" dxfId="2">
      <formula>"Upcoming"</formula>
    </cfRule>
    <cfRule type="cellIs" priority="548" operator="equal" dxfId="1">
      <formula>"Done"</formula>
    </cfRule>
  </conditionalFormatting>
  <conditionalFormatting sqref="J24">
    <cfRule type="cellIs" priority="547" operator="equal" dxfId="3">
      <formula>"Overdue"</formula>
    </cfRule>
    <cfRule type="cellIs" priority="546" operator="equal">
      <formula>"OnTrack"</formula>
    </cfRule>
    <cfRule type="cellIs" priority="545" operator="equal" dxfId="2">
      <formula>"Upcoming"</formula>
    </cfRule>
    <cfRule type="cellIs" priority="544" operator="equal" dxfId="1">
      <formula>"Done"</formula>
    </cfRule>
  </conditionalFormatting>
  <conditionalFormatting sqref="J25">
    <cfRule type="cellIs" priority="543" operator="equal" dxfId="3">
      <formula>"Overdue"</formula>
    </cfRule>
    <cfRule type="cellIs" priority="542" operator="equal">
      <formula>"OnTrack"</formula>
    </cfRule>
    <cfRule type="cellIs" priority="541" operator="equal" dxfId="2">
      <formula>"Upcoming"</formula>
    </cfRule>
    <cfRule type="cellIs" priority="540" operator="equal" dxfId="1">
      <formula>"Done"</formula>
    </cfRule>
  </conditionalFormatting>
  <conditionalFormatting sqref="J27">
    <cfRule type="cellIs" priority="539" operator="equal" dxfId="3">
      <formula>"Overdue"</formula>
    </cfRule>
    <cfRule type="cellIs" priority="538" operator="equal">
      <formula>"OnTrack"</formula>
    </cfRule>
    <cfRule type="cellIs" priority="537" operator="equal" dxfId="2">
      <formula>"Upcoming"</formula>
    </cfRule>
    <cfRule type="cellIs" priority="536" operator="equal" dxfId="1">
      <formula>"Done"</formula>
    </cfRule>
  </conditionalFormatting>
  <conditionalFormatting sqref="J29">
    <cfRule type="cellIs" priority="531" operator="equal" dxfId="3">
      <formula>"Overdue"</formula>
    </cfRule>
    <cfRule type="cellIs" priority="530" operator="equal">
      <formula>"OnTrack"</formula>
    </cfRule>
    <cfRule type="cellIs" priority="529" operator="equal" dxfId="2">
      <formula>"Upcoming"</formula>
    </cfRule>
    <cfRule type="cellIs" priority="528" operator="equal" dxfId="1">
      <formula>"Done"</formula>
    </cfRule>
  </conditionalFormatting>
  <conditionalFormatting sqref="J30">
    <cfRule type="cellIs" priority="527" operator="equal" dxfId="3">
      <formula>"Overdue"</formula>
    </cfRule>
    <cfRule type="cellIs" priority="526" operator="equal">
      <formula>"OnTrack"</formula>
    </cfRule>
    <cfRule type="cellIs" priority="525" operator="equal" dxfId="2">
      <formula>"Upcoming"</formula>
    </cfRule>
    <cfRule type="cellIs" priority="524" operator="equal" dxfId="1">
      <formula>"Done"</formula>
    </cfRule>
  </conditionalFormatting>
  <conditionalFormatting sqref="J31">
    <cfRule type="cellIs" priority="523" operator="equal" dxfId="3">
      <formula>"Overdue"</formula>
    </cfRule>
    <cfRule type="cellIs" priority="522" operator="equal">
      <formula>"OnTrack"</formula>
    </cfRule>
    <cfRule type="cellIs" priority="521" operator="equal" dxfId="2">
      <formula>"Upcoming"</formula>
    </cfRule>
    <cfRule type="cellIs" priority="520" operator="equal" dxfId="1">
      <formula>"Done"</formula>
    </cfRule>
  </conditionalFormatting>
  <conditionalFormatting sqref="Q12">
    <cfRule type="cellIs" priority="510" operator="equal" dxfId="3">
      <formula>"Overdue"</formula>
    </cfRule>
    <cfRule type="cellIs" priority="509" operator="equal">
      <formula>"OnTrack"</formula>
    </cfRule>
    <cfRule type="cellIs" priority="508" operator="equal" dxfId="2">
      <formula>"Upcoming"</formula>
    </cfRule>
    <cfRule type="cellIs" priority="507" operator="equal" dxfId="1">
      <formula>"Done"</formula>
    </cfRule>
    <cfRule type="cellIs" priority="506" operator="equal" dxfId="0">
      <formula>"Done with Overdue"</formula>
    </cfRule>
  </conditionalFormatting>
  <conditionalFormatting sqref="Q13">
    <cfRule type="cellIs" priority="505" operator="equal" dxfId="3">
      <formula>"Overdue"</formula>
    </cfRule>
    <cfRule type="cellIs" priority="504" operator="equal">
      <formula>"OnTrack"</formula>
    </cfRule>
    <cfRule type="cellIs" priority="503" operator="equal" dxfId="2">
      <formula>"Upcoming"</formula>
    </cfRule>
    <cfRule type="cellIs" priority="502" operator="equal" dxfId="1">
      <formula>"Done"</formula>
    </cfRule>
    <cfRule type="cellIs" priority="501" operator="equal" dxfId="0">
      <formula>"Done with Overdue"</formula>
    </cfRule>
  </conditionalFormatting>
  <conditionalFormatting sqref="Q14">
    <cfRule type="cellIs" priority="500" operator="equal" dxfId="3">
      <formula>"Overdue"</formula>
    </cfRule>
    <cfRule type="cellIs" priority="499" operator="equal">
      <formula>"OnTrack"</formula>
    </cfRule>
    <cfRule type="cellIs" priority="498" operator="equal" dxfId="2">
      <formula>"Upcoming"</formula>
    </cfRule>
    <cfRule type="cellIs" priority="497" operator="equal" dxfId="1">
      <formula>"Done"</formula>
    </cfRule>
    <cfRule type="cellIs" priority="496" operator="equal" dxfId="0">
      <formula>"Done with Overdue"</formula>
    </cfRule>
  </conditionalFormatting>
  <conditionalFormatting sqref="Q15">
    <cfRule type="cellIs" priority="495" operator="equal" dxfId="3">
      <formula>"Overdue"</formula>
    </cfRule>
    <cfRule type="cellIs" priority="494" operator="equal">
      <formula>"OnTrack"</formula>
    </cfRule>
    <cfRule type="cellIs" priority="493" operator="equal" dxfId="2">
      <formula>"Upcoming"</formula>
    </cfRule>
    <cfRule type="cellIs" priority="492" operator="equal" dxfId="1">
      <formula>"Done"</formula>
    </cfRule>
    <cfRule type="cellIs" priority="491" operator="equal" dxfId="0">
      <formula>"Done with Overdue"</formula>
    </cfRule>
  </conditionalFormatting>
  <conditionalFormatting sqref="Q17">
    <cfRule type="cellIs" priority="490" operator="equal" dxfId="3">
      <formula>"Overdue"</formula>
    </cfRule>
    <cfRule type="cellIs" priority="489" operator="equal">
      <formula>"OnTrack"</formula>
    </cfRule>
    <cfRule type="cellIs" priority="488" operator="equal" dxfId="2">
      <formula>"Upcoming"</formula>
    </cfRule>
    <cfRule type="cellIs" priority="487" operator="equal" dxfId="1">
      <formula>"Done"</formula>
    </cfRule>
    <cfRule type="cellIs" priority="486" operator="equal" dxfId="0">
      <formula>"Done with Overdue"</formula>
    </cfRule>
  </conditionalFormatting>
  <conditionalFormatting sqref="Q18:Q22">
    <cfRule type="cellIs" priority="485" operator="equal" dxfId="3">
      <formula>"Overdue"</formula>
    </cfRule>
    <cfRule type="cellIs" priority="484" operator="equal">
      <formula>"OnTrack"</formula>
    </cfRule>
    <cfRule type="cellIs" priority="483" operator="equal" dxfId="2">
      <formula>"Upcoming"</formula>
    </cfRule>
    <cfRule type="cellIs" priority="482" operator="equal" dxfId="1">
      <formula>"Done"</formula>
    </cfRule>
    <cfRule type="cellIs" priority="481" operator="equal" dxfId="0">
      <formula>"Done with Overdue"</formula>
    </cfRule>
  </conditionalFormatting>
  <conditionalFormatting sqref="Q23">
    <cfRule type="cellIs" priority="480" operator="equal" dxfId="3">
      <formula>"Overdue"</formula>
    </cfRule>
    <cfRule type="cellIs" priority="479" operator="equal">
      <formula>"OnTrack"</formula>
    </cfRule>
    <cfRule type="cellIs" priority="478" operator="equal" dxfId="2">
      <formula>"Upcoming"</formula>
    </cfRule>
    <cfRule type="cellIs" priority="477" operator="equal" dxfId="1">
      <formula>"Done"</formula>
    </cfRule>
    <cfRule type="cellIs" priority="476" operator="equal" dxfId="0">
      <formula>"Done with Overdue"</formula>
    </cfRule>
  </conditionalFormatting>
  <conditionalFormatting sqref="Q24">
    <cfRule type="cellIs" priority="475" operator="equal" dxfId="3">
      <formula>"Overdue"</formula>
    </cfRule>
    <cfRule type="cellIs" priority="474" operator="equal">
      <formula>"OnTrack"</formula>
    </cfRule>
    <cfRule type="cellIs" priority="473" operator="equal" dxfId="2">
      <formula>"Upcoming"</formula>
    </cfRule>
    <cfRule type="cellIs" priority="472" operator="equal" dxfId="1">
      <formula>"Done"</formula>
    </cfRule>
    <cfRule type="cellIs" priority="471" operator="equal" dxfId="0">
      <formula>"Done with Overdue"</formula>
    </cfRule>
  </conditionalFormatting>
  <conditionalFormatting sqref="Q25">
    <cfRule type="cellIs" priority="470" operator="equal" dxfId="3">
      <formula>"Overdue"</formula>
    </cfRule>
    <cfRule type="cellIs" priority="469" operator="equal">
      <formula>"OnTrack"</formula>
    </cfRule>
    <cfRule type="cellIs" priority="468" operator="equal" dxfId="2">
      <formula>"Upcoming"</formula>
    </cfRule>
    <cfRule type="cellIs" priority="467" operator="equal" dxfId="1">
      <formula>"Done"</formula>
    </cfRule>
    <cfRule type="cellIs" priority="466" operator="equal" dxfId="0">
      <formula>"Done with Overdue"</formula>
    </cfRule>
  </conditionalFormatting>
  <conditionalFormatting sqref="Q27">
    <cfRule type="cellIs" priority="465" operator="equal" dxfId="3">
      <formula>"Overdue"</formula>
    </cfRule>
    <cfRule type="cellIs" priority="464" operator="equal">
      <formula>"OnTrack"</formula>
    </cfRule>
    <cfRule type="cellIs" priority="463" operator="equal" dxfId="2">
      <formula>"Upcoming"</formula>
    </cfRule>
    <cfRule type="cellIs" priority="462" operator="equal" dxfId="1">
      <formula>"Done"</formula>
    </cfRule>
    <cfRule type="cellIs" priority="461" operator="equal" dxfId="0">
      <formula>"Done with Overdue"</formula>
    </cfRule>
  </conditionalFormatting>
  <conditionalFormatting sqref="Q29">
    <cfRule type="cellIs" priority="455" operator="equal" dxfId="3">
      <formula>"Overdue"</formula>
    </cfRule>
    <cfRule type="cellIs" priority="454" operator="equal">
      <formula>"OnTrack"</formula>
    </cfRule>
    <cfRule type="cellIs" priority="453" operator="equal" dxfId="2">
      <formula>"Upcoming"</formula>
    </cfRule>
    <cfRule type="cellIs" priority="452" operator="equal" dxfId="1">
      <formula>"Done"</formula>
    </cfRule>
    <cfRule type="cellIs" priority="451" operator="equal" dxfId="0">
      <formula>"Done with Overdue"</formula>
    </cfRule>
  </conditionalFormatting>
  <conditionalFormatting sqref="Q30">
    <cfRule type="cellIs" priority="450" operator="equal" dxfId="3">
      <formula>"Overdue"</formula>
    </cfRule>
    <cfRule type="cellIs" priority="449" operator="equal">
      <formula>"OnTrack"</formula>
    </cfRule>
    <cfRule type="cellIs" priority="448" operator="equal" dxfId="2">
      <formula>"Upcoming"</formula>
    </cfRule>
    <cfRule type="cellIs" priority="447" operator="equal" dxfId="1">
      <formula>"Done"</formula>
    </cfRule>
    <cfRule type="cellIs" priority="446" operator="equal" dxfId="0">
      <formula>"Done with Overdue"</formula>
    </cfRule>
  </conditionalFormatting>
  <conditionalFormatting sqref="Q31">
    <cfRule type="cellIs" priority="445" operator="equal" dxfId="3">
      <formula>"Overdue"</formula>
    </cfRule>
    <cfRule type="cellIs" priority="444" operator="equal">
      <formula>"OnTrack"</formula>
    </cfRule>
    <cfRule type="cellIs" priority="443" operator="equal" dxfId="2">
      <formula>"Upcoming"</formula>
    </cfRule>
    <cfRule type="cellIs" priority="442" operator="equal" dxfId="1">
      <formula>"Done"</formula>
    </cfRule>
    <cfRule type="cellIs" priority="441" operator="equal" dxfId="0">
      <formula>"Done with Overdue"</formula>
    </cfRule>
  </conditionalFormatting>
  <conditionalFormatting sqref="Q68">
    <cfRule type="cellIs" priority="425" operator="equal" dxfId="3">
      <formula>"Overdue"</formula>
    </cfRule>
    <cfRule type="cellIs" priority="424" operator="equal">
      <formula>"OnTrack"</formula>
    </cfRule>
    <cfRule type="cellIs" priority="423" operator="equal" dxfId="2">
      <formula>"Upcoming"</formula>
    </cfRule>
    <cfRule type="cellIs" priority="422" operator="equal" dxfId="1">
      <formula>"Done"</formula>
    </cfRule>
    <cfRule type="cellIs" priority="421" operator="equal" dxfId="0">
      <formula>"Done with Overdue"</formula>
    </cfRule>
  </conditionalFormatting>
  <conditionalFormatting sqref="Q69">
    <cfRule type="cellIs" priority="420" operator="equal" dxfId="3">
      <formula>"Overdue"</formula>
    </cfRule>
    <cfRule type="cellIs" priority="419" operator="equal">
      <formula>"OnTrack"</formula>
    </cfRule>
    <cfRule type="cellIs" priority="418" operator="equal" dxfId="2">
      <formula>"Upcoming"</formula>
    </cfRule>
    <cfRule type="cellIs" priority="417" operator="equal" dxfId="1">
      <formula>"Done"</formula>
    </cfRule>
    <cfRule type="cellIs" priority="416" operator="equal" dxfId="0">
      <formula>"Done with Overdue"</formula>
    </cfRule>
  </conditionalFormatting>
  <conditionalFormatting sqref="Q70">
    <cfRule type="cellIs" priority="415" operator="equal" dxfId="3">
      <formula>"Overdue"</formula>
    </cfRule>
    <cfRule type="cellIs" priority="414" operator="equal">
      <formula>"OnTrack"</formula>
    </cfRule>
    <cfRule type="cellIs" priority="413" operator="equal" dxfId="2">
      <formula>"Upcoming"</formula>
    </cfRule>
    <cfRule type="cellIs" priority="412" operator="equal" dxfId="1">
      <formula>"Done"</formula>
    </cfRule>
    <cfRule type="cellIs" priority="411" operator="equal" dxfId="0">
      <formula>"Done with Overdue"</formula>
    </cfRule>
  </conditionalFormatting>
  <conditionalFormatting sqref="Q71">
    <cfRule type="cellIs" priority="410" operator="equal" dxfId="3">
      <formula>"Overdue"</formula>
    </cfRule>
    <cfRule type="cellIs" priority="409" operator="equal">
      <formula>"OnTrack"</formula>
    </cfRule>
    <cfRule type="cellIs" priority="408" operator="equal" dxfId="2">
      <formula>"Upcoming"</formula>
    </cfRule>
    <cfRule type="cellIs" priority="407" operator="equal" dxfId="1">
      <formula>"Done"</formula>
    </cfRule>
    <cfRule type="cellIs" priority="406" operator="equal" dxfId="0">
      <formula>"Done with Overdue"</formula>
    </cfRule>
  </conditionalFormatting>
  <conditionalFormatting sqref="Q72">
    <cfRule type="cellIs" priority="405" operator="equal" dxfId="3">
      <formula>"Overdue"</formula>
    </cfRule>
    <cfRule type="cellIs" priority="404" operator="equal">
      <formula>"OnTrack"</formula>
    </cfRule>
    <cfRule type="cellIs" priority="403" operator="equal" dxfId="2">
      <formula>"Upcoming"</formula>
    </cfRule>
    <cfRule type="cellIs" priority="402" operator="equal" dxfId="1">
      <formula>"Done"</formula>
    </cfRule>
    <cfRule type="cellIs" priority="401" operator="equal" dxfId="0">
      <formula>"Done with Overdue"</formula>
    </cfRule>
  </conditionalFormatting>
  <conditionalFormatting sqref="Q73">
    <cfRule type="cellIs" priority="400" operator="equal" dxfId="3">
      <formula>"Overdue"</formula>
    </cfRule>
    <cfRule type="cellIs" priority="399" operator="equal">
      <formula>"OnTrack"</formula>
    </cfRule>
    <cfRule type="cellIs" priority="398" operator="equal" dxfId="2">
      <formula>"Upcoming"</formula>
    </cfRule>
    <cfRule type="cellIs" priority="397" operator="equal" dxfId="1">
      <formula>"Done"</formula>
    </cfRule>
    <cfRule type="cellIs" priority="396" operator="equal" dxfId="0">
      <formula>"Done with Overdue"</formula>
    </cfRule>
  </conditionalFormatting>
  <conditionalFormatting sqref="Q75">
    <cfRule type="cellIs" priority="390" operator="equal" dxfId="3">
      <formula>"Overdue"</formula>
    </cfRule>
    <cfRule type="cellIs" priority="389" operator="equal">
      <formula>"OnTrack"</formula>
    </cfRule>
    <cfRule type="cellIs" priority="388" operator="equal" dxfId="2">
      <formula>"Upcoming"</formula>
    </cfRule>
    <cfRule type="cellIs" priority="387" operator="equal" dxfId="1">
      <formula>"Done"</formula>
    </cfRule>
    <cfRule type="cellIs" priority="386" operator="equal" dxfId="0">
      <formula>"Done with Overdue"</formula>
    </cfRule>
  </conditionalFormatting>
  <conditionalFormatting sqref="Q77">
    <cfRule type="cellIs" priority="385" operator="equal" dxfId="3">
      <formula>"Overdue"</formula>
    </cfRule>
    <cfRule type="cellIs" priority="384" operator="equal">
      <formula>"OnTrack"</formula>
    </cfRule>
    <cfRule type="cellIs" priority="383" operator="equal" dxfId="2">
      <formula>"Upcoming"</formula>
    </cfRule>
    <cfRule type="cellIs" priority="382" operator="equal" dxfId="1">
      <formula>"Done"</formula>
    </cfRule>
    <cfRule type="cellIs" priority="381" operator="equal" dxfId="0">
      <formula>"Done with Overdue"</formula>
    </cfRule>
  </conditionalFormatting>
  <conditionalFormatting sqref="Q78">
    <cfRule type="cellIs" priority="380" operator="equal" dxfId="3">
      <formula>"Overdue"</formula>
    </cfRule>
    <cfRule type="cellIs" priority="379" operator="equal">
      <formula>"OnTrack"</formula>
    </cfRule>
    <cfRule type="cellIs" priority="378" operator="equal" dxfId="2">
      <formula>"Upcoming"</formula>
    </cfRule>
    <cfRule type="cellIs" priority="377" operator="equal" dxfId="1">
      <formula>"Done"</formula>
    </cfRule>
    <cfRule type="cellIs" priority="376" operator="equal" dxfId="0">
      <formula>"Done with Overdue"</formula>
    </cfRule>
  </conditionalFormatting>
  <conditionalFormatting sqref="Q137">
    <cfRule type="cellIs" priority="375" operator="equal" dxfId="3">
      <formula>"Overdue"</formula>
    </cfRule>
    <cfRule type="cellIs" priority="374" operator="equal">
      <formula>"OnTrack"</formula>
    </cfRule>
    <cfRule type="cellIs" priority="373" operator="equal" dxfId="2">
      <formula>"Upcoming"</formula>
    </cfRule>
    <cfRule type="cellIs" priority="372" operator="equal" dxfId="1">
      <formula>"Done"</formula>
    </cfRule>
    <cfRule type="cellIs" priority="371" operator="equal" dxfId="0">
      <formula>"Done with Overdue"</formula>
    </cfRule>
  </conditionalFormatting>
  <conditionalFormatting sqref="Q138">
    <cfRule type="cellIs" priority="370" operator="equal" dxfId="3">
      <formula>"Overdue"</formula>
    </cfRule>
    <cfRule type="cellIs" priority="369" operator="equal">
      <formula>"OnTrack"</formula>
    </cfRule>
    <cfRule type="cellIs" priority="368" operator="equal" dxfId="2">
      <formula>"Upcoming"</formula>
    </cfRule>
    <cfRule type="cellIs" priority="367" operator="equal" dxfId="1">
      <formula>"Done"</formula>
    </cfRule>
    <cfRule type="cellIs" priority="366" operator="equal" dxfId="0">
      <formula>"Done with Overdue"</formula>
    </cfRule>
  </conditionalFormatting>
  <conditionalFormatting sqref="Q139">
    <cfRule type="cellIs" priority="365" operator="equal" dxfId="3">
      <formula>"Overdue"</formula>
    </cfRule>
    <cfRule type="cellIs" priority="364" operator="equal">
      <formula>"OnTrack"</formula>
    </cfRule>
    <cfRule type="cellIs" priority="363" operator="equal" dxfId="2">
      <formula>"Upcoming"</formula>
    </cfRule>
    <cfRule type="cellIs" priority="362" operator="equal" dxfId="1">
      <formula>"Done"</formula>
    </cfRule>
    <cfRule type="cellIs" priority="361" operator="equal" dxfId="0">
      <formula>"Done with Overdue"</formula>
    </cfRule>
  </conditionalFormatting>
  <conditionalFormatting sqref="Q140:Q144">
    <cfRule type="cellIs" priority="360" operator="equal" dxfId="3">
      <formula>"Overdue"</formula>
    </cfRule>
    <cfRule type="cellIs" priority="359" operator="equal">
      <formula>"OnTrack"</formula>
    </cfRule>
    <cfRule type="cellIs" priority="358" operator="equal" dxfId="2">
      <formula>"Upcoming"</formula>
    </cfRule>
    <cfRule type="cellIs" priority="357" operator="equal" dxfId="1">
      <formula>"Done"</formula>
    </cfRule>
    <cfRule type="cellIs" priority="356" operator="equal" dxfId="0">
      <formula>"Done with Overdue"</formula>
    </cfRule>
  </conditionalFormatting>
  <conditionalFormatting sqref="Q145">
    <cfRule type="cellIs" priority="345" operator="equal" dxfId="3">
      <formula>"Overdue"</formula>
    </cfRule>
    <cfRule type="cellIs" priority="344" operator="equal">
      <formula>"OnTrack"</formula>
    </cfRule>
    <cfRule type="cellIs" priority="343" operator="equal" dxfId="2">
      <formula>"Upcoming"</formula>
    </cfRule>
    <cfRule type="cellIs" priority="342" operator="equal" dxfId="1">
      <formula>"Done"</formula>
    </cfRule>
    <cfRule type="cellIs" priority="341" operator="equal" dxfId="0">
      <formula>"Done with Overdue"</formula>
    </cfRule>
  </conditionalFormatting>
  <conditionalFormatting sqref="Q147">
    <cfRule type="cellIs" priority="340" operator="equal" dxfId="3">
      <formula>"Overdue"</formula>
    </cfRule>
    <cfRule type="cellIs" priority="339" operator="equal">
      <formula>"OnTrack"</formula>
    </cfRule>
    <cfRule type="cellIs" priority="338" operator="equal" dxfId="2">
      <formula>"Upcoming"</formula>
    </cfRule>
    <cfRule type="cellIs" priority="337" operator="equal" dxfId="1">
      <formula>"Done"</formula>
    </cfRule>
    <cfRule type="cellIs" priority="336" operator="equal" dxfId="0">
      <formula>"Done with Overdue"</formula>
    </cfRule>
  </conditionalFormatting>
  <conditionalFormatting sqref="Q146">
    <cfRule type="cellIs" priority="335" operator="equal" dxfId="3">
      <formula>"Overdue"</formula>
    </cfRule>
    <cfRule type="cellIs" priority="334" operator="equal">
      <formula>"OnTrack"</formula>
    </cfRule>
    <cfRule type="cellIs" priority="333" operator="equal" dxfId="2">
      <formula>"Upcoming"</formula>
    </cfRule>
    <cfRule type="cellIs" priority="332" operator="equal" dxfId="1">
      <formula>"Done"</formula>
    </cfRule>
    <cfRule type="cellIs" priority="331" operator="equal" dxfId="0">
      <formula>"Done with Overdue"</formula>
    </cfRule>
  </conditionalFormatting>
  <conditionalFormatting sqref="Q148">
    <cfRule type="cellIs" priority="330" operator="equal" dxfId="3">
      <formula>"Overdue"</formula>
    </cfRule>
    <cfRule type="cellIs" priority="329" operator="equal">
      <formula>"OnTrack"</formula>
    </cfRule>
    <cfRule type="cellIs" priority="328" operator="equal" dxfId="2">
      <formula>"Upcoming"</formula>
    </cfRule>
    <cfRule type="cellIs" priority="327" operator="equal" dxfId="1">
      <formula>"Done"</formula>
    </cfRule>
    <cfRule type="cellIs" priority="326" operator="equal" dxfId="0">
      <formula>"Done with Overdue"</formula>
    </cfRule>
  </conditionalFormatting>
  <conditionalFormatting sqref="Q149">
    <cfRule type="cellIs" priority="325" operator="equal" dxfId="3">
      <formula>"Overdue"</formula>
    </cfRule>
    <cfRule type="cellIs" priority="324" operator="equal">
      <formula>"OnTrack"</formula>
    </cfRule>
    <cfRule type="cellIs" priority="323" operator="equal" dxfId="2">
      <formula>"Upcoming"</formula>
    </cfRule>
    <cfRule type="cellIs" priority="322" operator="equal" dxfId="1">
      <formula>"Done"</formula>
    </cfRule>
    <cfRule type="cellIs" priority="321" operator="equal" dxfId="0">
      <formula>"Done with Overdue"</formula>
    </cfRule>
  </conditionalFormatting>
  <conditionalFormatting sqref="Q150:Q151">
    <cfRule type="cellIs" priority="315" operator="equal" dxfId="3">
      <formula>"Overdue"</formula>
    </cfRule>
    <cfRule type="cellIs" priority="314" operator="equal">
      <formula>"OnTrack"</formula>
    </cfRule>
    <cfRule type="cellIs" priority="313" operator="equal" dxfId="2">
      <formula>"Upcoming"</formula>
    </cfRule>
    <cfRule type="cellIs" priority="312" operator="equal" dxfId="1">
      <formula>"Done"</formula>
    </cfRule>
    <cfRule type="cellIs" priority="311" operator="equal" dxfId="0">
      <formula>"Done with Overdue"</formula>
    </cfRule>
  </conditionalFormatting>
  <conditionalFormatting sqref="Q154">
    <cfRule type="cellIs" priority="310" operator="equal" dxfId="3">
      <formula>"Overdue"</formula>
    </cfRule>
    <cfRule type="cellIs" priority="309" operator="equal">
      <formula>"OnTrack"</formula>
    </cfRule>
    <cfRule type="cellIs" priority="308" operator="equal" dxfId="2">
      <formula>"Upcoming"</formula>
    </cfRule>
    <cfRule type="cellIs" priority="307" operator="equal" dxfId="1">
      <formula>"Done"</formula>
    </cfRule>
    <cfRule type="cellIs" priority="306" operator="equal" dxfId="0">
      <formula>"Done with Overdue"</formula>
    </cfRule>
  </conditionalFormatting>
  <conditionalFormatting sqref="Q155">
    <cfRule type="cellIs" priority="305" operator="equal" dxfId="3">
      <formula>"Overdue"</formula>
    </cfRule>
    <cfRule type="cellIs" priority="304" operator="equal">
      <formula>"OnTrack"</formula>
    </cfRule>
    <cfRule type="cellIs" priority="303" operator="equal" dxfId="2">
      <formula>"Upcoming"</formula>
    </cfRule>
    <cfRule type="cellIs" priority="302" operator="equal" dxfId="1">
      <formula>"Done"</formula>
    </cfRule>
    <cfRule type="cellIs" priority="301" operator="equal" dxfId="0">
      <formula>"Done with Overdue"</formula>
    </cfRule>
  </conditionalFormatting>
  <conditionalFormatting sqref="Q158">
    <cfRule type="cellIs" priority="300" operator="equal" dxfId="3">
      <formula>"Overdue"</formula>
    </cfRule>
    <cfRule type="cellIs" priority="299" operator="equal">
      <formula>"OnTrack"</formula>
    </cfRule>
    <cfRule type="cellIs" priority="298" operator="equal" dxfId="2">
      <formula>"Upcoming"</formula>
    </cfRule>
    <cfRule type="cellIs" priority="297" operator="equal" dxfId="1">
      <formula>"Done"</formula>
    </cfRule>
    <cfRule type="cellIs" priority="296" operator="equal" dxfId="0">
      <formula>"Done with Overdue"</formula>
    </cfRule>
  </conditionalFormatting>
  <conditionalFormatting sqref="Q157">
    <cfRule type="cellIs" priority="295" operator="equal" dxfId="3">
      <formula>"Overdue"</formula>
    </cfRule>
    <cfRule type="cellIs" priority="294" operator="equal">
      <formula>"OnTrack"</formula>
    </cfRule>
    <cfRule type="cellIs" priority="293" operator="equal" dxfId="2">
      <formula>"Upcoming"</formula>
    </cfRule>
    <cfRule type="cellIs" priority="292" operator="equal" dxfId="1">
      <formula>"Done"</formula>
    </cfRule>
    <cfRule type="cellIs" priority="291" operator="equal" dxfId="0">
      <formula>"Done with Overdue"</formula>
    </cfRule>
  </conditionalFormatting>
  <conditionalFormatting sqref="J114:J123">
    <cfRule type="cellIs" priority="290" operator="equal" dxfId="3">
      <formula>"Overdue"</formula>
    </cfRule>
    <cfRule type="cellIs" priority="289" operator="equal">
      <formula>"OnTrack"</formula>
    </cfRule>
    <cfRule type="cellIs" priority="288" operator="equal" dxfId="2">
      <formula>"Upcoming"</formula>
    </cfRule>
    <cfRule type="cellIs" priority="287" operator="equal" dxfId="1">
      <formula>"Done"</formula>
    </cfRule>
  </conditionalFormatting>
  <conditionalFormatting sqref="J124">
    <cfRule type="cellIs" priority="286" operator="equal" dxfId="3">
      <formula>"Overdue"</formula>
    </cfRule>
    <cfRule type="cellIs" priority="285" operator="equal">
      <formula>"OnTrack"</formula>
    </cfRule>
    <cfRule type="cellIs" priority="284" operator="equal" dxfId="2">
      <formula>"Upcoming"</formula>
    </cfRule>
    <cfRule type="cellIs" priority="283" operator="equal" dxfId="1">
      <formula>"Done"</formula>
    </cfRule>
  </conditionalFormatting>
  <conditionalFormatting sqref="J125">
    <cfRule type="cellIs" priority="282" operator="equal" dxfId="3">
      <formula>"Overdue"</formula>
    </cfRule>
    <cfRule type="cellIs" priority="281" operator="equal">
      <formula>"OnTrack"</formula>
    </cfRule>
    <cfRule type="cellIs" priority="280" operator="equal" dxfId="2">
      <formula>"Upcoming"</formula>
    </cfRule>
    <cfRule type="cellIs" priority="279" operator="equal" dxfId="1">
      <formula>"Done"</formula>
    </cfRule>
  </conditionalFormatting>
  <conditionalFormatting sqref="Q114">
    <cfRule type="cellIs" priority="278" operator="equal" dxfId="3">
      <formula>"Overdue"</formula>
    </cfRule>
    <cfRule type="cellIs" priority="277" operator="equal">
      <formula>"OnTrack"</formula>
    </cfRule>
    <cfRule type="cellIs" priority="276" operator="equal" dxfId="2">
      <formula>"Upcoming"</formula>
    </cfRule>
    <cfRule type="cellIs" priority="275" operator="equal" dxfId="1">
      <formula>"Done"</formula>
    </cfRule>
    <cfRule type="cellIs" priority="274" operator="equal" dxfId="0">
      <formula>"Done with Overdue"</formula>
    </cfRule>
  </conditionalFormatting>
  <conditionalFormatting sqref="Q115:Q116">
    <cfRule type="cellIs" priority="273" operator="equal" dxfId="3">
      <formula>"Overdue"</formula>
    </cfRule>
    <cfRule type="cellIs" priority="272" operator="equal">
      <formula>"OnTrack"</formula>
    </cfRule>
    <cfRule type="cellIs" priority="271" operator="equal" dxfId="2">
      <formula>"Upcoming"</formula>
    </cfRule>
    <cfRule type="cellIs" priority="270" operator="equal" dxfId="1">
      <formula>"Done"</formula>
    </cfRule>
    <cfRule type="cellIs" priority="269" operator="equal" dxfId="0">
      <formula>"Done with Overdue"</formula>
    </cfRule>
  </conditionalFormatting>
  <conditionalFormatting sqref="Q118:Q120">
    <cfRule type="cellIs" priority="268" operator="equal" dxfId="3">
      <formula>"Overdue"</formula>
    </cfRule>
    <cfRule type="cellIs" priority="267" operator="equal">
      <formula>"OnTrack"</formula>
    </cfRule>
    <cfRule type="cellIs" priority="266" operator="equal" dxfId="2">
      <formula>"Upcoming"</formula>
    </cfRule>
    <cfRule type="cellIs" priority="265" operator="equal" dxfId="1">
      <formula>"Done"</formula>
    </cfRule>
    <cfRule type="cellIs" priority="264" operator="equal" dxfId="0">
      <formula>"Done with Overdue"</formula>
    </cfRule>
  </conditionalFormatting>
  <conditionalFormatting sqref="Q121">
    <cfRule type="cellIs" priority="263" operator="equal" dxfId="3">
      <formula>"Overdue"</formula>
    </cfRule>
    <cfRule type="cellIs" priority="262" operator="equal">
      <formula>"OnTrack"</formula>
    </cfRule>
    <cfRule type="cellIs" priority="261" operator="equal" dxfId="2">
      <formula>"Upcoming"</formula>
    </cfRule>
    <cfRule type="cellIs" priority="260" operator="equal" dxfId="1">
      <formula>"Done"</formula>
    </cfRule>
    <cfRule type="cellIs" priority="259" operator="equal" dxfId="0">
      <formula>"Done with Overdue"</formula>
    </cfRule>
  </conditionalFormatting>
  <conditionalFormatting sqref="Q122">
    <cfRule type="cellIs" priority="258" operator="equal" dxfId="3">
      <formula>"Overdue"</formula>
    </cfRule>
    <cfRule type="cellIs" priority="257" operator="equal">
      <formula>"OnTrack"</formula>
    </cfRule>
    <cfRule type="cellIs" priority="256" operator="equal" dxfId="2">
      <formula>"Upcoming"</formula>
    </cfRule>
    <cfRule type="cellIs" priority="255" operator="equal" dxfId="1">
      <formula>"Done"</formula>
    </cfRule>
    <cfRule type="cellIs" priority="254" operator="equal" dxfId="0">
      <formula>"Done with Overdue"</formula>
    </cfRule>
  </conditionalFormatting>
  <conditionalFormatting sqref="Q123">
    <cfRule type="cellIs" priority="253" operator="equal" dxfId="3">
      <formula>"Overdue"</formula>
    </cfRule>
    <cfRule type="cellIs" priority="252" operator="equal">
      <formula>"OnTrack"</formula>
    </cfRule>
    <cfRule type="cellIs" priority="251" operator="equal" dxfId="2">
      <formula>"Upcoming"</formula>
    </cfRule>
    <cfRule type="cellIs" priority="250" operator="equal" dxfId="1">
      <formula>"Done"</formula>
    </cfRule>
    <cfRule type="cellIs" priority="249" operator="equal" dxfId="0">
      <formula>"Done with Overdue"</formula>
    </cfRule>
  </conditionalFormatting>
  <conditionalFormatting sqref="Q124">
    <cfRule type="cellIs" priority="248" operator="equal" dxfId="3">
      <formula>"Overdue"</formula>
    </cfRule>
    <cfRule type="cellIs" priority="247" operator="equal">
      <formula>"OnTrack"</formula>
    </cfRule>
    <cfRule type="cellIs" priority="246" operator="equal" dxfId="2">
      <formula>"Upcoming"</formula>
    </cfRule>
    <cfRule type="cellIs" priority="245" operator="equal" dxfId="1">
      <formula>"Done"</formula>
    </cfRule>
    <cfRule type="cellIs" priority="244" operator="equal" dxfId="0">
      <formula>"Done with Overdue"</formula>
    </cfRule>
  </conditionalFormatting>
  <conditionalFormatting sqref="Q125">
    <cfRule type="cellIs" priority="243" operator="equal" dxfId="3">
      <formula>"Overdue"</formula>
    </cfRule>
    <cfRule type="cellIs" priority="242" operator="equal">
      <formula>"OnTrack"</formula>
    </cfRule>
    <cfRule type="cellIs" priority="241" operator="equal" dxfId="2">
      <formula>"Upcoming"</formula>
    </cfRule>
    <cfRule type="cellIs" priority="240" operator="equal" dxfId="1">
      <formula>"Done"</formula>
    </cfRule>
    <cfRule type="cellIs" priority="239" operator="equal" dxfId="0">
      <formula>"Done with Overdue"</formula>
    </cfRule>
  </conditionalFormatting>
  <conditionalFormatting sqref="J127">
    <cfRule type="cellIs" priority="238" operator="equal" dxfId="3">
      <formula>"Overdue"</formula>
    </cfRule>
    <cfRule type="cellIs" priority="237" operator="equal">
      <formula>"OnTrack"</formula>
    </cfRule>
    <cfRule type="cellIs" priority="236" operator="equal" dxfId="2">
      <formula>"Upcoming"</formula>
    </cfRule>
    <cfRule type="cellIs" priority="235" operator="equal" dxfId="1">
      <formula>"Done"</formula>
    </cfRule>
  </conditionalFormatting>
  <conditionalFormatting sqref="J128">
    <cfRule type="cellIs" priority="234" operator="equal" dxfId="3">
      <formula>"Overdue"</formula>
    </cfRule>
    <cfRule type="cellIs" priority="233" operator="equal">
      <formula>"OnTrack"</formula>
    </cfRule>
    <cfRule type="cellIs" priority="232" operator="equal" dxfId="2">
      <formula>"Upcoming"</formula>
    </cfRule>
    <cfRule type="cellIs" priority="231" operator="equal" dxfId="1">
      <formula>"Done"</formula>
    </cfRule>
  </conditionalFormatting>
  <conditionalFormatting sqref="J129">
    <cfRule type="cellIs" priority="230" operator="equal" dxfId="3">
      <formula>"Overdue"</formula>
    </cfRule>
    <cfRule type="cellIs" priority="229" operator="equal">
      <formula>"OnTrack"</formula>
    </cfRule>
    <cfRule type="cellIs" priority="228" operator="equal" dxfId="2">
      <formula>"Upcoming"</formula>
    </cfRule>
    <cfRule type="cellIs" priority="227" operator="equal" dxfId="1">
      <formula>"Done"</formula>
    </cfRule>
  </conditionalFormatting>
  <conditionalFormatting sqref="J131">
    <cfRule type="cellIs" priority="218" operator="equal" dxfId="3">
      <formula>"Overdue"</formula>
    </cfRule>
    <cfRule type="cellIs" priority="217" operator="equal">
      <formula>"OnTrack"</formula>
    </cfRule>
    <cfRule type="cellIs" priority="216" operator="equal" dxfId="2">
      <formula>"Upcoming"</formula>
    </cfRule>
    <cfRule type="cellIs" priority="215" operator="equal" dxfId="1">
      <formula>"Done"</formula>
    </cfRule>
  </conditionalFormatting>
  <conditionalFormatting sqref="J130">
    <cfRule type="cellIs" priority="214" operator="equal" dxfId="3">
      <formula>"Overdue"</formula>
    </cfRule>
    <cfRule type="cellIs" priority="213" operator="equal">
      <formula>"OnTrack"</formula>
    </cfRule>
    <cfRule type="cellIs" priority="212" operator="equal" dxfId="2">
      <formula>"Upcoming"</formula>
    </cfRule>
    <cfRule type="cellIs" priority="211" operator="equal" dxfId="1">
      <formula>"Done"</formula>
    </cfRule>
  </conditionalFormatting>
  <conditionalFormatting sqref="J133">
    <cfRule type="cellIs" priority="210" operator="equal" dxfId="3">
      <formula>"Overdue"</formula>
    </cfRule>
    <cfRule type="cellIs" priority="209" operator="equal">
      <formula>"OnTrack"</formula>
    </cfRule>
    <cfRule type="cellIs" priority="208" operator="equal" dxfId="2">
      <formula>"Upcoming"</formula>
    </cfRule>
    <cfRule type="cellIs" priority="207" operator="equal" dxfId="1">
      <formula>"Done"</formula>
    </cfRule>
  </conditionalFormatting>
  <conditionalFormatting sqref="J134">
    <cfRule type="cellIs" priority="206" operator="equal" dxfId="3">
      <formula>"Overdue"</formula>
    </cfRule>
    <cfRule type="cellIs" priority="205" operator="equal">
      <formula>"OnTrack"</formula>
    </cfRule>
    <cfRule type="cellIs" priority="204" operator="equal" dxfId="2">
      <formula>"Upcoming"</formula>
    </cfRule>
    <cfRule type="cellIs" priority="203" operator="equal" dxfId="1">
      <formula>"Done"</formula>
    </cfRule>
  </conditionalFormatting>
  <conditionalFormatting sqref="J135">
    <cfRule type="cellIs" priority="202" operator="equal" dxfId="3">
      <formula>"Overdue"</formula>
    </cfRule>
    <cfRule type="cellIs" priority="201" operator="equal">
      <formula>"OnTrack"</formula>
    </cfRule>
    <cfRule type="cellIs" priority="200" operator="equal" dxfId="2">
      <formula>"Upcoming"</formula>
    </cfRule>
    <cfRule type="cellIs" priority="199" operator="equal" dxfId="1">
      <formula>"Done"</formula>
    </cfRule>
  </conditionalFormatting>
  <conditionalFormatting sqref="J132">
    <cfRule type="cellIs" priority="198" operator="equal" dxfId="3">
      <formula>"Overdue"</formula>
    </cfRule>
    <cfRule type="cellIs" priority="197" operator="equal">
      <formula>"OnTrack"</formula>
    </cfRule>
    <cfRule type="cellIs" priority="196" operator="equal" dxfId="2">
      <formula>"Upcoming"</formula>
    </cfRule>
    <cfRule type="cellIs" priority="195" operator="equal" dxfId="1">
      <formula>"Done"</formula>
    </cfRule>
  </conditionalFormatting>
  <conditionalFormatting sqref="J26">
    <cfRule type="cellIs" priority="194" operator="equal" dxfId="3">
      <formula>"Overdue"</formula>
    </cfRule>
    <cfRule type="cellIs" priority="193" operator="equal">
      <formula>"OnTrack"</formula>
    </cfRule>
    <cfRule type="cellIs" priority="192" operator="equal" dxfId="2">
      <formula>"Upcoming"</formula>
    </cfRule>
    <cfRule type="cellIs" priority="191" operator="equal" dxfId="1">
      <formula>"Done"</formula>
    </cfRule>
  </conditionalFormatting>
  <conditionalFormatting sqref="Q26">
    <cfRule type="cellIs" priority="190" operator="equal" dxfId="3">
      <formula>"Overdue"</formula>
    </cfRule>
    <cfRule type="cellIs" priority="189" operator="equal">
      <formula>"OnTrack"</formula>
    </cfRule>
    <cfRule type="cellIs" priority="188" operator="equal" dxfId="2">
      <formula>"Upcoming"</formula>
    </cfRule>
    <cfRule type="cellIs" priority="187" operator="equal" dxfId="1">
      <formula>"Done"</formula>
    </cfRule>
    <cfRule type="cellIs" priority="186" operator="equal" dxfId="0">
      <formula>"Done with Overdue"</formula>
    </cfRule>
  </conditionalFormatting>
  <conditionalFormatting sqref="J152">
    <cfRule type="cellIs" priority="185" operator="equal" dxfId="3">
      <formula>"Overdue"</formula>
    </cfRule>
    <cfRule type="cellIs" priority="184" operator="equal">
      <formula>"OnTrack"</formula>
    </cfRule>
    <cfRule type="cellIs" priority="183" operator="equal" dxfId="2">
      <formula>"Upcoming"</formula>
    </cfRule>
    <cfRule type="cellIs" priority="182" operator="equal" dxfId="1">
      <formula>"Done"</formula>
    </cfRule>
  </conditionalFormatting>
  <conditionalFormatting sqref="J153">
    <cfRule type="cellIs" priority="181" operator="equal" dxfId="3">
      <formula>"Overdue"</formula>
    </cfRule>
    <cfRule type="cellIs" priority="180" operator="equal">
      <formula>"OnTrack"</formula>
    </cfRule>
    <cfRule type="cellIs" priority="179" operator="equal" dxfId="2">
      <formula>"Upcoming"</formula>
    </cfRule>
    <cfRule type="cellIs" priority="178" operator="equal" dxfId="1">
      <formula>"Done"</formula>
    </cfRule>
  </conditionalFormatting>
  <conditionalFormatting sqref="Q152">
    <cfRule type="cellIs" priority="177" operator="equal" dxfId="3">
      <formula>"Overdue"</formula>
    </cfRule>
    <cfRule type="cellIs" priority="176" operator="equal">
      <formula>"OnTrack"</formula>
    </cfRule>
    <cfRule type="cellIs" priority="175" operator="equal" dxfId="2">
      <formula>"Upcoming"</formula>
    </cfRule>
    <cfRule type="cellIs" priority="174" operator="equal" dxfId="1">
      <formula>"Done"</formula>
    </cfRule>
    <cfRule type="cellIs" priority="173" operator="equal" dxfId="0">
      <formula>"Done with Overdue"</formula>
    </cfRule>
  </conditionalFormatting>
  <conditionalFormatting sqref="Q153">
    <cfRule type="cellIs" priority="172" operator="equal" dxfId="3">
      <formula>"Overdue"</formula>
    </cfRule>
    <cfRule type="cellIs" priority="171" operator="equal">
      <formula>"OnTrack"</formula>
    </cfRule>
    <cfRule type="cellIs" priority="170" operator="equal" dxfId="2">
      <formula>"Upcoming"</formula>
    </cfRule>
    <cfRule type="cellIs" priority="169" operator="equal" dxfId="1">
      <formula>"Done"</formula>
    </cfRule>
    <cfRule type="cellIs" priority="168" operator="equal" dxfId="0">
      <formula>"Done with Overdue"</formula>
    </cfRule>
  </conditionalFormatting>
  <conditionalFormatting sqref="Q127">
    <cfRule type="cellIs" priority="167" operator="equal" dxfId="3">
      <formula>"Overdue"</formula>
    </cfRule>
    <cfRule type="cellIs" priority="166" operator="equal">
      <formula>"OnTrack"</formula>
    </cfRule>
    <cfRule type="cellIs" priority="165" operator="equal" dxfId="2">
      <formula>"Upcoming"</formula>
    </cfRule>
    <cfRule type="cellIs" priority="164" operator="equal" dxfId="1">
      <formula>"Done"</formula>
    </cfRule>
    <cfRule type="cellIs" priority="163" operator="equal" dxfId="0">
      <formula>"Done with Overdue"</formula>
    </cfRule>
  </conditionalFormatting>
  <conditionalFormatting sqref="Q128">
    <cfRule type="cellIs" priority="162" operator="equal" dxfId="3">
      <formula>"Overdue"</formula>
    </cfRule>
    <cfRule type="cellIs" priority="161" operator="equal">
      <formula>"OnTrack"</formula>
    </cfRule>
    <cfRule type="cellIs" priority="160" operator="equal" dxfId="2">
      <formula>"Upcoming"</formula>
    </cfRule>
    <cfRule type="cellIs" priority="159" operator="equal" dxfId="1">
      <formula>"Done"</formula>
    </cfRule>
    <cfRule type="cellIs" priority="158" operator="equal" dxfId="0">
      <formula>"Done with Overdue"</formula>
    </cfRule>
  </conditionalFormatting>
  <conditionalFormatting sqref="Q129">
    <cfRule type="cellIs" priority="157" operator="equal" dxfId="3">
      <formula>"Overdue"</formula>
    </cfRule>
    <cfRule type="cellIs" priority="156" operator="equal">
      <formula>"OnTrack"</formula>
    </cfRule>
    <cfRule type="cellIs" priority="155" operator="equal" dxfId="2">
      <formula>"Upcoming"</formula>
    </cfRule>
    <cfRule type="cellIs" priority="154" operator="equal" dxfId="1">
      <formula>"Done"</formula>
    </cfRule>
    <cfRule type="cellIs" priority="153" operator="equal" dxfId="0">
      <formula>"Done with Overdue"</formula>
    </cfRule>
  </conditionalFormatting>
  <conditionalFormatting sqref="Q130">
    <cfRule type="cellIs" priority="152" operator="equal" dxfId="3">
      <formula>"Overdue"</formula>
    </cfRule>
    <cfRule type="cellIs" priority="151" operator="equal">
      <formula>"OnTrack"</formula>
    </cfRule>
    <cfRule type="cellIs" priority="150" operator="equal" dxfId="2">
      <formula>"Upcoming"</formula>
    </cfRule>
    <cfRule type="cellIs" priority="149" operator="equal" dxfId="1">
      <formula>"Done"</formula>
    </cfRule>
    <cfRule type="cellIs" priority="148" operator="equal" dxfId="0">
      <formula>"Done with Overdue"</formula>
    </cfRule>
  </conditionalFormatting>
  <conditionalFormatting sqref="Q131">
    <cfRule type="cellIs" priority="147" operator="equal" dxfId="3">
      <formula>"Overdue"</formula>
    </cfRule>
    <cfRule type="cellIs" priority="146" operator="equal">
      <formula>"OnTrack"</formula>
    </cfRule>
    <cfRule type="cellIs" priority="145" operator="equal" dxfId="2">
      <formula>"Upcoming"</formula>
    </cfRule>
    <cfRule type="cellIs" priority="144" operator="equal" dxfId="1">
      <formula>"Done"</formula>
    </cfRule>
    <cfRule type="cellIs" priority="143" operator="equal" dxfId="0">
      <formula>"Done with Overdue"</formula>
    </cfRule>
  </conditionalFormatting>
  <conditionalFormatting sqref="Q132">
    <cfRule type="cellIs" priority="142" operator="equal" dxfId="3">
      <formula>"Overdue"</formula>
    </cfRule>
    <cfRule type="cellIs" priority="141" operator="equal">
      <formula>"OnTrack"</formula>
    </cfRule>
    <cfRule type="cellIs" priority="140" operator="equal" dxfId="2">
      <formula>"Upcoming"</formula>
    </cfRule>
    <cfRule type="cellIs" priority="139" operator="equal" dxfId="1">
      <formula>"Done"</formula>
    </cfRule>
    <cfRule type="cellIs" priority="138" operator="equal" dxfId="0">
      <formula>"Done with Overdue"</formula>
    </cfRule>
  </conditionalFormatting>
  <conditionalFormatting sqref="Q133">
    <cfRule type="cellIs" priority="137" operator="equal" dxfId="3">
      <formula>"Overdue"</formula>
    </cfRule>
    <cfRule type="cellIs" priority="136" operator="equal">
      <formula>"OnTrack"</formula>
    </cfRule>
    <cfRule type="cellIs" priority="135" operator="equal" dxfId="2">
      <formula>"Upcoming"</formula>
    </cfRule>
    <cfRule type="cellIs" priority="134" operator="equal" dxfId="1">
      <formula>"Done"</formula>
    </cfRule>
    <cfRule type="cellIs" priority="133" operator="equal" dxfId="0">
      <formula>"Done with Overdue"</formula>
    </cfRule>
  </conditionalFormatting>
  <conditionalFormatting sqref="Q134">
    <cfRule type="cellIs" priority="132" operator="equal" dxfId="3">
      <formula>"Overdue"</formula>
    </cfRule>
    <cfRule type="cellIs" priority="131" operator="equal">
      <formula>"OnTrack"</formula>
    </cfRule>
    <cfRule type="cellIs" priority="130" operator="equal" dxfId="2">
      <formula>"Upcoming"</formula>
    </cfRule>
    <cfRule type="cellIs" priority="129" operator="equal" dxfId="1">
      <formula>"Done"</formula>
    </cfRule>
    <cfRule type="cellIs" priority="128" operator="equal" dxfId="0">
      <formula>"Done with Overdue"</formula>
    </cfRule>
  </conditionalFormatting>
  <conditionalFormatting sqref="Q135">
    <cfRule type="cellIs" priority="127" operator="equal" dxfId="3">
      <formula>"Overdue"</formula>
    </cfRule>
    <cfRule type="cellIs" priority="126" operator="equal">
      <formula>"OnTrack"</formula>
    </cfRule>
    <cfRule type="cellIs" priority="125" operator="equal" dxfId="2">
      <formula>"Upcoming"</formula>
    </cfRule>
    <cfRule type="cellIs" priority="124" operator="equal" dxfId="1">
      <formula>"Done"</formula>
    </cfRule>
    <cfRule type="cellIs" priority="123" operator="equal" dxfId="0">
      <formula>"Done with Overdue"</formula>
    </cfRule>
  </conditionalFormatting>
  <conditionalFormatting sqref="J32">
    <cfRule type="cellIs" priority="122" operator="equal" dxfId="3">
      <formula>"Overdue"</formula>
    </cfRule>
    <cfRule type="cellIs" priority="121" operator="equal">
      <formula>"OnTrack"</formula>
    </cfRule>
    <cfRule type="cellIs" priority="120" operator="equal" dxfId="2">
      <formula>"Upcoming"</formula>
    </cfRule>
    <cfRule type="cellIs" priority="119" operator="equal" dxfId="1">
      <formula>"Done"</formula>
    </cfRule>
  </conditionalFormatting>
  <conditionalFormatting sqref="J33:J55">
    <cfRule type="cellIs" priority="118" operator="equal" dxfId="3">
      <formula>"Overdue"</formula>
    </cfRule>
    <cfRule type="cellIs" priority="117" operator="equal">
      <formula>"OnTrack"</formula>
    </cfRule>
    <cfRule type="cellIs" priority="116" operator="equal" dxfId="2">
      <formula>"Upcoming"</formula>
    </cfRule>
    <cfRule type="cellIs" priority="115" operator="equal" dxfId="1">
      <formula>"Done"</formula>
    </cfRule>
  </conditionalFormatting>
  <conditionalFormatting sqref="Q32">
    <cfRule type="cellIs" priority="114" operator="equal" dxfId="3">
      <formula>"Overdue"</formula>
    </cfRule>
    <cfRule type="cellIs" priority="113" operator="equal">
      <formula>"OnTrack"</formula>
    </cfRule>
    <cfRule type="cellIs" priority="112" operator="equal" dxfId="2">
      <formula>"Upcoming"</formula>
    </cfRule>
    <cfRule type="cellIs" priority="111" operator="equal" dxfId="1">
      <formula>"Done"</formula>
    </cfRule>
    <cfRule type="cellIs" priority="110" operator="equal" dxfId="0">
      <formula>"Done with Overdue"</formula>
    </cfRule>
  </conditionalFormatting>
  <conditionalFormatting sqref="Q33 Q41:Q55">
    <cfRule type="cellIs" priority="109" operator="equal" dxfId="3">
      <formula>"Overdue"</formula>
    </cfRule>
    <cfRule type="cellIs" priority="108" operator="equal">
      <formula>"OnTrack"</formula>
    </cfRule>
    <cfRule type="cellIs" priority="107" operator="equal" dxfId="2">
      <formula>"Upcoming"</formula>
    </cfRule>
    <cfRule type="cellIs" priority="106" operator="equal" dxfId="1">
      <formula>"Done"</formula>
    </cfRule>
    <cfRule type="cellIs" priority="105" operator="equal" dxfId="0">
      <formula>"Done with Overdue"</formula>
    </cfRule>
  </conditionalFormatting>
  <conditionalFormatting sqref="Q34">
    <cfRule type="cellIs" priority="104" operator="equal" dxfId="3">
      <formula>"Overdue"</formula>
    </cfRule>
    <cfRule type="cellIs" priority="103" operator="equal">
      <formula>"OnTrack"</formula>
    </cfRule>
    <cfRule type="cellIs" priority="102" operator="equal" dxfId="2">
      <formula>"Upcoming"</formula>
    </cfRule>
    <cfRule type="cellIs" priority="101" operator="equal" dxfId="1">
      <formula>"Done"</formula>
    </cfRule>
    <cfRule type="cellIs" priority="100" operator="equal" dxfId="0">
      <formula>"Done with Overdue"</formula>
    </cfRule>
  </conditionalFormatting>
  <conditionalFormatting sqref="Q35">
    <cfRule type="cellIs" priority="99" operator="equal" dxfId="3">
      <formula>"Overdue"</formula>
    </cfRule>
    <cfRule type="cellIs" priority="98" operator="equal">
      <formula>"OnTrack"</formula>
    </cfRule>
    <cfRule type="cellIs" priority="97" operator="equal" dxfId="2">
      <formula>"Upcoming"</formula>
    </cfRule>
    <cfRule type="cellIs" priority="96" operator="equal" dxfId="1">
      <formula>"Done"</formula>
    </cfRule>
    <cfRule type="cellIs" priority="95" operator="equal" dxfId="0">
      <formula>"Done with Overdue"</formula>
    </cfRule>
  </conditionalFormatting>
  <conditionalFormatting sqref="Q36">
    <cfRule type="cellIs" priority="94" operator="equal" dxfId="3">
      <formula>"Overdue"</formula>
    </cfRule>
    <cfRule type="cellIs" priority="93" operator="equal">
      <formula>"OnTrack"</formula>
    </cfRule>
    <cfRule type="cellIs" priority="92" operator="equal" dxfId="2">
      <formula>"Upcoming"</formula>
    </cfRule>
    <cfRule type="cellIs" priority="91" operator="equal" dxfId="1">
      <formula>"Done"</formula>
    </cfRule>
    <cfRule type="cellIs" priority="90" operator="equal" dxfId="0">
      <formula>"Done with Overdue"</formula>
    </cfRule>
  </conditionalFormatting>
  <conditionalFormatting sqref="Q37">
    <cfRule type="cellIs" priority="89" operator="equal" dxfId="3">
      <formula>"Overdue"</formula>
    </cfRule>
    <cfRule type="cellIs" priority="88" operator="equal">
      <formula>"OnTrack"</formula>
    </cfRule>
    <cfRule type="cellIs" priority="87" operator="equal" dxfId="2">
      <formula>"Upcoming"</formula>
    </cfRule>
    <cfRule type="cellIs" priority="86" operator="equal" dxfId="1">
      <formula>"Done"</formula>
    </cfRule>
    <cfRule type="cellIs" priority="85" operator="equal" dxfId="0">
      <formula>"Done with Overdue"</formula>
    </cfRule>
  </conditionalFormatting>
  <conditionalFormatting sqref="Q38">
    <cfRule type="cellIs" priority="84" operator="equal" dxfId="3">
      <formula>"Overdue"</formula>
    </cfRule>
    <cfRule type="cellIs" priority="83" operator="equal">
      <formula>"OnTrack"</formula>
    </cfRule>
    <cfRule type="cellIs" priority="82" operator="equal" dxfId="2">
      <formula>"Upcoming"</formula>
    </cfRule>
    <cfRule type="cellIs" priority="81" operator="equal" dxfId="1">
      <formula>"Done"</formula>
    </cfRule>
    <cfRule type="cellIs" priority="80" operator="equal" dxfId="0">
      <formula>"Done with Overdue"</formula>
    </cfRule>
  </conditionalFormatting>
  <conditionalFormatting sqref="Q39">
    <cfRule type="cellIs" priority="79" operator="equal" dxfId="3">
      <formula>"Overdue"</formula>
    </cfRule>
    <cfRule type="cellIs" priority="78" operator="equal">
      <formula>"OnTrack"</formula>
    </cfRule>
    <cfRule type="cellIs" priority="77" operator="equal" dxfId="2">
      <formula>"Upcoming"</formula>
    </cfRule>
    <cfRule type="cellIs" priority="76" operator="equal" dxfId="1">
      <formula>"Done"</formula>
    </cfRule>
    <cfRule type="cellIs" priority="75" operator="equal" dxfId="0">
      <formula>"Done with Overdue"</formula>
    </cfRule>
  </conditionalFormatting>
  <conditionalFormatting sqref="Q40">
    <cfRule type="cellIs" priority="74" operator="equal" dxfId="3">
      <formula>"Overdue"</formula>
    </cfRule>
    <cfRule type="cellIs" priority="73" operator="equal">
      <formula>"OnTrack"</formula>
    </cfRule>
    <cfRule type="cellIs" priority="72" operator="equal" dxfId="2">
      <formula>"Upcoming"</formula>
    </cfRule>
    <cfRule type="cellIs" priority="71" operator="equal" dxfId="1">
      <formula>"Done"</formula>
    </cfRule>
    <cfRule type="cellIs" priority="70" operator="equal" dxfId="0">
      <formula>"Done with Overdue"</formula>
    </cfRule>
  </conditionalFormatting>
  <conditionalFormatting sqref="J64">
    <cfRule type="cellIs" priority="69" operator="equal" dxfId="3">
      <formula>"Overdue"</formula>
    </cfRule>
    <cfRule type="cellIs" priority="68" operator="equal">
      <formula>"OnTrack"</formula>
    </cfRule>
    <cfRule type="cellIs" priority="67" operator="equal" dxfId="2">
      <formula>"Upcoming"</formula>
    </cfRule>
    <cfRule type="cellIs" priority="66" operator="equal" dxfId="1">
      <formula>"Done"</formula>
    </cfRule>
  </conditionalFormatting>
  <conditionalFormatting sqref="Q63">
    <cfRule type="cellIs" priority="61" operator="equal" dxfId="3">
      <formula>"Overdue"</formula>
    </cfRule>
    <cfRule type="cellIs" priority="60" operator="equal">
      <formula>"OnTrack"</formula>
    </cfRule>
    <cfRule type="cellIs" priority="59" operator="equal" dxfId="2">
      <formula>"Upcoming"</formula>
    </cfRule>
    <cfRule type="cellIs" priority="58" operator="equal" dxfId="1">
      <formula>"Done"</formula>
    </cfRule>
    <cfRule type="cellIs" priority="57" operator="equal" dxfId="0">
      <formula>"Done with Overdue"</formula>
    </cfRule>
  </conditionalFormatting>
  <conditionalFormatting sqref="Q64">
    <cfRule type="cellIs" priority="56" operator="equal" dxfId="3">
      <formula>"Overdue"</formula>
    </cfRule>
    <cfRule type="cellIs" priority="55" operator="equal">
      <formula>"OnTrack"</formula>
    </cfRule>
    <cfRule type="cellIs" priority="54" operator="equal" dxfId="2">
      <formula>"Upcoming"</formula>
    </cfRule>
    <cfRule type="cellIs" priority="53" operator="equal" dxfId="1">
      <formula>"Done"</formula>
    </cfRule>
    <cfRule type="cellIs" priority="52" operator="equal" dxfId="0">
      <formula>"Done with Overdue"</formula>
    </cfRule>
  </conditionalFormatting>
  <conditionalFormatting sqref="J61">
    <cfRule type="cellIs" priority="46" operator="equal" dxfId="3">
      <formula>"Overdue"</formula>
    </cfRule>
    <cfRule type="cellIs" priority="45" operator="equal">
      <formula>"OnTrack"</formula>
    </cfRule>
    <cfRule type="cellIs" priority="44" operator="equal" dxfId="2">
      <formula>"Upcoming"</formula>
    </cfRule>
    <cfRule type="cellIs" priority="43" operator="equal" dxfId="1">
      <formula>"Done"</formula>
    </cfRule>
  </conditionalFormatting>
  <conditionalFormatting sqref="J62">
    <cfRule type="cellIs" priority="42" operator="equal" dxfId="3">
      <formula>"Overdue"</formula>
    </cfRule>
    <cfRule type="cellIs" priority="41" operator="equal">
      <formula>"OnTrack"</formula>
    </cfRule>
    <cfRule type="cellIs" priority="40" operator="equal" dxfId="2">
      <formula>"Upcoming"</formula>
    </cfRule>
    <cfRule type="cellIs" priority="39" operator="equal" dxfId="1">
      <formula>"Done"</formula>
    </cfRule>
  </conditionalFormatting>
  <conditionalFormatting sqref="Q60">
    <cfRule type="cellIs" priority="38" operator="equal" dxfId="3">
      <formula>"Overdue"</formula>
    </cfRule>
    <cfRule type="cellIs" priority="37" operator="equal">
      <formula>"OnTrack"</formula>
    </cfRule>
    <cfRule type="cellIs" priority="36" operator="equal" dxfId="2">
      <formula>"Upcoming"</formula>
    </cfRule>
    <cfRule type="cellIs" priority="35" operator="equal" dxfId="1">
      <formula>"Done"</formula>
    </cfRule>
    <cfRule type="cellIs" priority="34" operator="equal" dxfId="0">
      <formula>"Done with Overdue"</formula>
    </cfRule>
  </conditionalFormatting>
  <conditionalFormatting sqref="Q61">
    <cfRule type="cellIs" priority="33" operator="equal" dxfId="3">
      <formula>"Overdue"</formula>
    </cfRule>
    <cfRule type="cellIs" priority="32" operator="equal">
      <formula>"OnTrack"</formula>
    </cfRule>
    <cfRule type="cellIs" priority="31" operator="equal" dxfId="2">
      <formula>"Upcoming"</formula>
    </cfRule>
    <cfRule type="cellIs" priority="30" operator="equal" dxfId="1">
      <formula>"Done"</formula>
    </cfRule>
    <cfRule type="cellIs" priority="29" operator="equal" dxfId="0">
      <formula>"Done with Overdue"</formula>
    </cfRule>
  </conditionalFormatting>
  <conditionalFormatting sqref="Q62">
    <cfRule type="cellIs" priority="28" operator="equal" dxfId="3">
      <formula>"Overdue"</formula>
    </cfRule>
    <cfRule type="cellIs" priority="27" operator="equal">
      <formula>"OnTrack"</formula>
    </cfRule>
    <cfRule type="cellIs" priority="26" operator="equal" dxfId="2">
      <formula>"Upcoming"</formula>
    </cfRule>
    <cfRule type="cellIs" priority="25" operator="equal" dxfId="1">
      <formula>"Done"</formula>
    </cfRule>
    <cfRule type="cellIs" priority="24" operator="equal" dxfId="0">
      <formula>"Done with Overdue"</formula>
    </cfRule>
  </conditionalFormatting>
  <conditionalFormatting sqref="J58">
    <cfRule type="cellIs" priority="23" operator="equal" dxfId="3">
      <formula>"Overdue"</formula>
    </cfRule>
    <cfRule type="cellIs" priority="22" operator="equal">
      <formula>"OnTrack"</formula>
    </cfRule>
    <cfRule type="cellIs" priority="21" operator="equal" dxfId="2">
      <formula>"Upcoming"</formula>
    </cfRule>
    <cfRule type="cellIs" priority="20" operator="equal" dxfId="1">
      <formula>"Done"</formula>
    </cfRule>
  </conditionalFormatting>
  <conditionalFormatting sqref="J59">
    <cfRule type="cellIs" priority="19" operator="equal" dxfId="3">
      <formula>"Overdue"</formula>
    </cfRule>
    <cfRule type="cellIs" priority="18" operator="equal">
      <formula>"OnTrack"</formula>
    </cfRule>
    <cfRule type="cellIs" priority="17" operator="equal" dxfId="2">
      <formula>"Upcoming"</formula>
    </cfRule>
    <cfRule type="cellIs" priority="16" operator="equal" dxfId="1">
      <formula>"Done"</formula>
    </cfRule>
  </conditionalFormatting>
  <conditionalFormatting sqref="Q57">
    <cfRule type="cellIs" priority="15" operator="equal" dxfId="3">
      <formula>"Overdue"</formula>
    </cfRule>
    <cfRule type="cellIs" priority="14" operator="equal">
      <formula>"OnTrack"</formula>
    </cfRule>
    <cfRule type="cellIs" priority="13" operator="equal" dxfId="2">
      <formula>"Upcoming"</formula>
    </cfRule>
    <cfRule type="cellIs" priority="12" operator="equal" dxfId="1">
      <formula>"Done"</formula>
    </cfRule>
    <cfRule type="cellIs" priority="11" operator="equal" dxfId="0">
      <formula>"Done with Overdue"</formula>
    </cfRule>
  </conditionalFormatting>
  <conditionalFormatting sqref="Q58">
    <cfRule type="cellIs" priority="10" operator="equal" dxfId="3">
      <formula>"Overdue"</formula>
    </cfRule>
    <cfRule type="cellIs" priority="9" operator="equal">
      <formula>"OnTrack"</formula>
    </cfRule>
    <cfRule type="cellIs" priority="8" operator="equal" dxfId="2">
      <formula>"Upcoming"</formula>
    </cfRule>
    <cfRule type="cellIs" priority="7" operator="equal" dxfId="1">
      <formula>"Done"</formula>
    </cfRule>
    <cfRule type="cellIs" priority="6" operator="equal" dxfId="0">
      <formula>"Done with Overdue"</formula>
    </cfRule>
  </conditionalFormatting>
  <conditionalFormatting sqref="Q59">
    <cfRule type="cellIs" priority="5" operator="equal" dxfId="3">
      <formula>"Overdue"</formula>
    </cfRule>
    <cfRule type="cellIs" priority="4" operator="equal">
      <formula>"OnTrack"</formula>
    </cfRule>
    <cfRule type="cellIs" priority="3" operator="equal" dxfId="2">
      <formula>"Upcoming"</formula>
    </cfRule>
    <cfRule type="cellIs" priority="2" operator="equal" dxfId="1">
      <formula>"Done"</formula>
    </cfRule>
    <cfRule type="cellIs" priority="1" operator="equal" dxfId="0">
      <formula>"Done with Overdue"</formula>
    </cfRule>
  </conditionalFormatting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2" r:id="rId11"/>
    <hyperlink xmlns:r="http://schemas.openxmlformats.org/officeDocument/2006/relationships" ref="F12" r:id="rId12"/>
    <hyperlink xmlns:r="http://schemas.openxmlformats.org/officeDocument/2006/relationships" ref="E13" r:id="rId13"/>
    <hyperlink xmlns:r="http://schemas.openxmlformats.org/officeDocument/2006/relationships" ref="F13" r:id="rId14"/>
    <hyperlink xmlns:r="http://schemas.openxmlformats.org/officeDocument/2006/relationships" ref="E14" r:id="rId15"/>
    <hyperlink xmlns:r="http://schemas.openxmlformats.org/officeDocument/2006/relationships" ref="F14" r:id="rId16"/>
    <hyperlink xmlns:r="http://schemas.openxmlformats.org/officeDocument/2006/relationships" ref="E15" r:id="rId17"/>
    <hyperlink xmlns:r="http://schemas.openxmlformats.org/officeDocument/2006/relationships" ref="F15" r:id="rId18"/>
    <hyperlink xmlns:r="http://schemas.openxmlformats.org/officeDocument/2006/relationships" ref="E17" r:id="rId19"/>
    <hyperlink xmlns:r="http://schemas.openxmlformats.org/officeDocument/2006/relationships" ref="E18" r:id="rId20"/>
    <hyperlink xmlns:r="http://schemas.openxmlformats.org/officeDocument/2006/relationships" ref="F18" r:id="rId21"/>
    <hyperlink xmlns:r="http://schemas.openxmlformats.org/officeDocument/2006/relationships" ref="E19" r:id="rId22"/>
    <hyperlink xmlns:r="http://schemas.openxmlformats.org/officeDocument/2006/relationships" ref="F19" r:id="rId23"/>
    <hyperlink xmlns:r="http://schemas.openxmlformats.org/officeDocument/2006/relationships" ref="E20" r:id="rId24"/>
    <hyperlink xmlns:r="http://schemas.openxmlformats.org/officeDocument/2006/relationships" ref="F20" r:id="rId25"/>
    <hyperlink xmlns:r="http://schemas.openxmlformats.org/officeDocument/2006/relationships" ref="E21" r:id="rId26"/>
    <hyperlink xmlns:r="http://schemas.openxmlformats.org/officeDocument/2006/relationships" ref="F21" r:id="rId27"/>
    <hyperlink xmlns:r="http://schemas.openxmlformats.org/officeDocument/2006/relationships" ref="E22" r:id="rId28"/>
    <hyperlink xmlns:r="http://schemas.openxmlformats.org/officeDocument/2006/relationships" ref="F22" r:id="rId29"/>
    <hyperlink xmlns:r="http://schemas.openxmlformats.org/officeDocument/2006/relationships" ref="E23" r:id="rId30"/>
    <hyperlink xmlns:r="http://schemas.openxmlformats.org/officeDocument/2006/relationships" ref="F23" r:id="rId31"/>
    <hyperlink xmlns:r="http://schemas.openxmlformats.org/officeDocument/2006/relationships" ref="E24" r:id="rId32"/>
    <hyperlink xmlns:r="http://schemas.openxmlformats.org/officeDocument/2006/relationships" ref="F24" r:id="rId33"/>
    <hyperlink xmlns:r="http://schemas.openxmlformats.org/officeDocument/2006/relationships" ref="E27" r:id="rId34"/>
    <hyperlink xmlns:r="http://schemas.openxmlformats.org/officeDocument/2006/relationships" ref="E29" r:id="rId35"/>
    <hyperlink xmlns:r="http://schemas.openxmlformats.org/officeDocument/2006/relationships" ref="E30" r:id="rId36"/>
    <hyperlink xmlns:r="http://schemas.openxmlformats.org/officeDocument/2006/relationships" ref="E31" r:id="rId37"/>
    <hyperlink xmlns:r="http://schemas.openxmlformats.org/officeDocument/2006/relationships" ref="E32" r:id="rId38"/>
    <hyperlink xmlns:r="http://schemas.openxmlformats.org/officeDocument/2006/relationships" ref="E33" r:id="rId39"/>
    <hyperlink xmlns:r="http://schemas.openxmlformats.org/officeDocument/2006/relationships" ref="E34" r:id="rId40"/>
    <hyperlink xmlns:r="http://schemas.openxmlformats.org/officeDocument/2006/relationships" ref="E35" r:id="rId41"/>
    <hyperlink xmlns:r="http://schemas.openxmlformats.org/officeDocument/2006/relationships" ref="E36" r:id="rId42"/>
    <hyperlink xmlns:r="http://schemas.openxmlformats.org/officeDocument/2006/relationships" ref="E37" r:id="rId43"/>
    <hyperlink xmlns:r="http://schemas.openxmlformats.org/officeDocument/2006/relationships" ref="E38" r:id="rId44"/>
    <hyperlink xmlns:r="http://schemas.openxmlformats.org/officeDocument/2006/relationships" ref="E39" r:id="rId45"/>
    <hyperlink xmlns:r="http://schemas.openxmlformats.org/officeDocument/2006/relationships" ref="E40" r:id="rId46"/>
    <hyperlink xmlns:r="http://schemas.openxmlformats.org/officeDocument/2006/relationships" ref="E57" r:id="rId47"/>
    <hyperlink xmlns:r="http://schemas.openxmlformats.org/officeDocument/2006/relationships" ref="E58" r:id="rId48"/>
    <hyperlink xmlns:r="http://schemas.openxmlformats.org/officeDocument/2006/relationships" ref="E59" r:id="rId49"/>
    <hyperlink xmlns:r="http://schemas.openxmlformats.org/officeDocument/2006/relationships" ref="E60" r:id="rId50"/>
    <hyperlink xmlns:r="http://schemas.openxmlformats.org/officeDocument/2006/relationships" ref="E68" r:id="rId51"/>
    <hyperlink xmlns:r="http://schemas.openxmlformats.org/officeDocument/2006/relationships" ref="F68" r:id="rId52"/>
    <hyperlink xmlns:r="http://schemas.openxmlformats.org/officeDocument/2006/relationships" ref="E69" r:id="rId53"/>
    <hyperlink xmlns:r="http://schemas.openxmlformats.org/officeDocument/2006/relationships" ref="F69" r:id="rId54"/>
    <hyperlink xmlns:r="http://schemas.openxmlformats.org/officeDocument/2006/relationships" ref="E70" r:id="rId55"/>
    <hyperlink xmlns:r="http://schemas.openxmlformats.org/officeDocument/2006/relationships" ref="F70" r:id="rId56"/>
    <hyperlink xmlns:r="http://schemas.openxmlformats.org/officeDocument/2006/relationships" ref="E71" r:id="rId57"/>
    <hyperlink xmlns:r="http://schemas.openxmlformats.org/officeDocument/2006/relationships" ref="F71" r:id="rId58"/>
    <hyperlink xmlns:r="http://schemas.openxmlformats.org/officeDocument/2006/relationships" ref="E72" r:id="rId59"/>
    <hyperlink xmlns:r="http://schemas.openxmlformats.org/officeDocument/2006/relationships" ref="F72" r:id="rId60"/>
    <hyperlink xmlns:r="http://schemas.openxmlformats.org/officeDocument/2006/relationships" ref="E73" r:id="rId61"/>
    <hyperlink xmlns:r="http://schemas.openxmlformats.org/officeDocument/2006/relationships" ref="E75" r:id="rId62"/>
    <hyperlink xmlns:r="http://schemas.openxmlformats.org/officeDocument/2006/relationships" ref="E81" r:id="rId63"/>
    <hyperlink xmlns:r="http://schemas.openxmlformats.org/officeDocument/2006/relationships" ref="E82" r:id="rId64"/>
    <hyperlink xmlns:r="http://schemas.openxmlformats.org/officeDocument/2006/relationships" ref="E83" r:id="rId65"/>
    <hyperlink xmlns:r="http://schemas.openxmlformats.org/officeDocument/2006/relationships" ref="E85" r:id="rId66"/>
    <hyperlink xmlns:r="http://schemas.openxmlformats.org/officeDocument/2006/relationships" ref="E86" r:id="rId67"/>
    <hyperlink xmlns:r="http://schemas.openxmlformats.org/officeDocument/2006/relationships" ref="E87" r:id="rId68"/>
    <hyperlink xmlns:r="http://schemas.openxmlformats.org/officeDocument/2006/relationships" ref="E88" r:id="rId69"/>
    <hyperlink xmlns:r="http://schemas.openxmlformats.org/officeDocument/2006/relationships" ref="E89" r:id="rId70"/>
    <hyperlink xmlns:r="http://schemas.openxmlformats.org/officeDocument/2006/relationships" ref="E90" r:id="rId71"/>
    <hyperlink xmlns:r="http://schemas.openxmlformats.org/officeDocument/2006/relationships" ref="E91" r:id="rId72"/>
    <hyperlink xmlns:r="http://schemas.openxmlformats.org/officeDocument/2006/relationships" ref="E92" r:id="rId73"/>
    <hyperlink xmlns:r="http://schemas.openxmlformats.org/officeDocument/2006/relationships" ref="E94" r:id="rId74"/>
    <hyperlink xmlns:r="http://schemas.openxmlformats.org/officeDocument/2006/relationships" ref="E95" r:id="rId75"/>
    <hyperlink xmlns:r="http://schemas.openxmlformats.org/officeDocument/2006/relationships" ref="E96" r:id="rId76"/>
    <hyperlink xmlns:r="http://schemas.openxmlformats.org/officeDocument/2006/relationships" ref="E97" r:id="rId77"/>
    <hyperlink xmlns:r="http://schemas.openxmlformats.org/officeDocument/2006/relationships" ref="E98" r:id="rId78"/>
    <hyperlink xmlns:r="http://schemas.openxmlformats.org/officeDocument/2006/relationships" ref="E99" r:id="rId79"/>
    <hyperlink xmlns:r="http://schemas.openxmlformats.org/officeDocument/2006/relationships" ref="E100" r:id="rId80"/>
    <hyperlink xmlns:r="http://schemas.openxmlformats.org/officeDocument/2006/relationships" ref="E101" r:id="rId81"/>
    <hyperlink xmlns:r="http://schemas.openxmlformats.org/officeDocument/2006/relationships" ref="E102" r:id="rId82"/>
    <hyperlink xmlns:r="http://schemas.openxmlformats.org/officeDocument/2006/relationships" ref="E104" r:id="rId83"/>
    <hyperlink xmlns:r="http://schemas.openxmlformats.org/officeDocument/2006/relationships" ref="F104" r:id="rId84"/>
    <hyperlink xmlns:r="http://schemas.openxmlformats.org/officeDocument/2006/relationships" ref="E105" r:id="rId85"/>
    <hyperlink xmlns:r="http://schemas.openxmlformats.org/officeDocument/2006/relationships" ref="F105" r:id="rId86"/>
    <hyperlink xmlns:r="http://schemas.openxmlformats.org/officeDocument/2006/relationships" ref="E106" r:id="rId87"/>
    <hyperlink xmlns:r="http://schemas.openxmlformats.org/officeDocument/2006/relationships" ref="F106" r:id="rId88"/>
    <hyperlink xmlns:r="http://schemas.openxmlformats.org/officeDocument/2006/relationships" ref="E107" r:id="rId89"/>
    <hyperlink xmlns:r="http://schemas.openxmlformats.org/officeDocument/2006/relationships" ref="F107" r:id="rId90"/>
    <hyperlink xmlns:r="http://schemas.openxmlformats.org/officeDocument/2006/relationships" ref="E108" r:id="rId91"/>
    <hyperlink xmlns:r="http://schemas.openxmlformats.org/officeDocument/2006/relationships" ref="F108" r:id="rId92"/>
    <hyperlink xmlns:r="http://schemas.openxmlformats.org/officeDocument/2006/relationships" ref="E109" r:id="rId93"/>
    <hyperlink xmlns:r="http://schemas.openxmlformats.org/officeDocument/2006/relationships" ref="F109" r:id="rId94"/>
    <hyperlink xmlns:r="http://schemas.openxmlformats.org/officeDocument/2006/relationships" ref="E110" r:id="rId95"/>
    <hyperlink xmlns:r="http://schemas.openxmlformats.org/officeDocument/2006/relationships" ref="Y110" r:id="rId96"/>
    <hyperlink xmlns:r="http://schemas.openxmlformats.org/officeDocument/2006/relationships" ref="E111" r:id="rId97"/>
    <hyperlink xmlns:r="http://schemas.openxmlformats.org/officeDocument/2006/relationships" ref="Y111" r:id="rId98"/>
    <hyperlink xmlns:r="http://schemas.openxmlformats.org/officeDocument/2006/relationships" ref="E112" r:id="rId99"/>
    <hyperlink xmlns:r="http://schemas.openxmlformats.org/officeDocument/2006/relationships" ref="Y112" r:id="rId100"/>
    <hyperlink xmlns:r="http://schemas.openxmlformats.org/officeDocument/2006/relationships" ref="E113" r:id="rId101"/>
    <hyperlink xmlns:r="http://schemas.openxmlformats.org/officeDocument/2006/relationships" ref="Y113" r:id="rId102"/>
    <hyperlink xmlns:r="http://schemas.openxmlformats.org/officeDocument/2006/relationships" ref="E114" r:id="rId103"/>
    <hyperlink xmlns:r="http://schemas.openxmlformats.org/officeDocument/2006/relationships" ref="Y114" r:id="rId104"/>
    <hyperlink xmlns:r="http://schemas.openxmlformats.org/officeDocument/2006/relationships" ref="E115" r:id="rId105"/>
    <hyperlink xmlns:r="http://schemas.openxmlformats.org/officeDocument/2006/relationships" ref="Y115" r:id="rId106"/>
    <hyperlink xmlns:r="http://schemas.openxmlformats.org/officeDocument/2006/relationships" ref="E116" r:id="rId107"/>
    <hyperlink xmlns:r="http://schemas.openxmlformats.org/officeDocument/2006/relationships" ref="Y116" r:id="rId108"/>
    <hyperlink xmlns:r="http://schemas.openxmlformats.org/officeDocument/2006/relationships" ref="E117" r:id="rId109"/>
    <hyperlink xmlns:r="http://schemas.openxmlformats.org/officeDocument/2006/relationships" ref="Y117" r:id="rId110"/>
    <hyperlink xmlns:r="http://schemas.openxmlformats.org/officeDocument/2006/relationships" ref="E118" r:id="rId111"/>
    <hyperlink xmlns:r="http://schemas.openxmlformats.org/officeDocument/2006/relationships" ref="Y118" r:id="rId112"/>
    <hyperlink xmlns:r="http://schemas.openxmlformats.org/officeDocument/2006/relationships" ref="E119" r:id="rId113"/>
    <hyperlink xmlns:r="http://schemas.openxmlformats.org/officeDocument/2006/relationships" ref="E120" r:id="rId114"/>
    <hyperlink xmlns:r="http://schemas.openxmlformats.org/officeDocument/2006/relationships" ref="E121" r:id="rId115"/>
    <hyperlink xmlns:r="http://schemas.openxmlformats.org/officeDocument/2006/relationships" ref="E122" r:id="rId1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3" topLeftCell="A7" activePane="bottomLeft" state="frozen"/>
      <selection pane="bottomLeft" activeCell="D8" sqref="D8"/>
    </sheetView>
  </sheetViews>
  <sheetFormatPr baseColWidth="8" defaultColWidth="8.85546875" defaultRowHeight="12.75" customHeight="1"/>
  <cols>
    <col width="5.7109375" customWidth="1" style="2" min="1" max="1"/>
    <col width="11.7109375" customWidth="1" style="2" min="2" max="2"/>
    <col width="8.28515625" customWidth="1" style="1" min="3" max="3"/>
    <col width="56.42578125" customWidth="1" style="1" min="4" max="4"/>
    <col width="10.5703125" bestFit="1" customWidth="1" style="2" min="5" max="5"/>
    <col width="16.140625" customWidth="1" style="2" min="6" max="6"/>
    <col width="11.7109375" customWidth="1" style="2" min="7" max="7"/>
    <col width="10" customWidth="1" style="2" min="8" max="9"/>
    <col width="17.140625" bestFit="1" customWidth="1" style="2" min="10" max="10"/>
    <col width="26" customWidth="1" style="2" min="11" max="11"/>
    <col width="12.42578125" bestFit="1" customWidth="1" style="2" min="12" max="12"/>
    <col width="12.7109375" bestFit="1" customWidth="1" style="2" min="13" max="13"/>
    <col width="16.5703125" bestFit="1" customWidth="1" style="2" min="14" max="14"/>
    <col width="9.7109375" customWidth="1" style="2" min="15" max="16"/>
    <col width="17.140625" bestFit="1" customWidth="1" style="2" min="17" max="17"/>
    <col width="18.5703125" customWidth="1" style="2" min="18" max="18"/>
    <col width="12.42578125" bestFit="1" customWidth="1" style="2" min="19" max="20"/>
    <col width="14.140625" bestFit="1" customWidth="1" style="2" min="21" max="21"/>
    <col width="12.7109375" customWidth="1" style="2" min="22" max="22"/>
    <col width="12.85546875" customWidth="1" style="2" min="23" max="23"/>
    <col width="82.5703125" customWidth="1" style="2" min="24" max="24"/>
    <col width="60.85546875" customWidth="1" style="1" min="25" max="25"/>
    <col width="8.85546875" customWidth="1" style="1" min="26" max="16384"/>
  </cols>
  <sheetData>
    <row r="1" ht="24.75" customHeight="1">
      <c r="A1" s="123" t="inlineStr">
        <is>
          <t>No</t>
        </is>
      </c>
      <c r="B1" s="123" t="inlineStr">
        <is>
          <t>Release</t>
        </is>
      </c>
      <c r="C1" s="123" t="inlineStr">
        <is>
          <t>Module</t>
        </is>
      </c>
      <c r="D1" s="123" t="inlineStr">
        <is>
          <t>Function</t>
        </is>
      </c>
      <c r="E1" s="123" t="inlineStr">
        <is>
          <t>LLDD Link</t>
        </is>
      </c>
      <c r="F1" s="123" t="inlineStr">
        <is>
          <t>Approve Link</t>
        </is>
      </c>
      <c r="G1" s="123" t="inlineStr">
        <is>
          <t>Team</t>
        </is>
      </c>
      <c r="H1" s="144" t="inlineStr">
        <is>
          <t>Create LLDD</t>
        </is>
      </c>
      <c r="I1" s="145" t="n"/>
      <c r="J1" s="145" t="n"/>
      <c r="K1" s="145" t="n"/>
      <c r="L1" s="145" t="n"/>
      <c r="M1" s="146" t="n"/>
      <c r="N1" s="123" t="inlineStr">
        <is>
          <t>Send Email Date</t>
        </is>
      </c>
      <c r="O1" s="142" t="inlineStr">
        <is>
          <t>Approve LLDD</t>
        </is>
      </c>
      <c r="P1" s="145" t="n"/>
      <c r="Q1" s="145" t="n"/>
      <c r="R1" s="145" t="n"/>
      <c r="S1" s="145" t="n"/>
      <c r="T1" s="145" t="n"/>
      <c r="U1" s="145" t="n"/>
      <c r="V1" s="123" t="inlineStr">
        <is>
          <t>Dev Plan</t>
        </is>
      </c>
      <c r="W1" s="146" t="n"/>
      <c r="X1" s="137" t="inlineStr">
        <is>
          <t>Risk</t>
        </is>
      </c>
      <c r="Y1" s="123" t="inlineStr">
        <is>
          <t>Remark</t>
        </is>
      </c>
    </row>
    <row r="2" ht="24.75" customHeight="1">
      <c r="A2" s="147" t="n"/>
      <c r="B2" s="147" t="n"/>
      <c r="C2" s="147" t="n"/>
      <c r="D2" s="147" t="n"/>
      <c r="E2" s="147" t="n"/>
      <c r="F2" s="147" t="n"/>
      <c r="G2" s="147" t="n"/>
      <c r="H2" s="23" t="inlineStr">
        <is>
          <t>Status</t>
        </is>
      </c>
      <c r="I2" s="23" t="inlineStr">
        <is>
          <t>%</t>
        </is>
      </c>
      <c r="J2" s="23" t="inlineStr">
        <is>
          <t>Flag</t>
        </is>
      </c>
      <c r="K2" s="23" t="inlineStr">
        <is>
          <t>Assignee</t>
        </is>
      </c>
      <c r="L2" s="23" t="inlineStr">
        <is>
          <t>Target Date</t>
        </is>
      </c>
      <c r="M2" s="23" t="inlineStr">
        <is>
          <t>Submit Date</t>
        </is>
      </c>
      <c r="N2" s="147" t="n"/>
      <c r="O2" s="24" t="inlineStr">
        <is>
          <t>Status</t>
        </is>
      </c>
      <c r="P2" s="24" t="inlineStr">
        <is>
          <t>%</t>
        </is>
      </c>
      <c r="Q2" s="24" t="inlineStr">
        <is>
          <t>Flag</t>
        </is>
      </c>
      <c r="R2" s="24" t="inlineStr">
        <is>
          <t>Approve By</t>
        </is>
      </c>
      <c r="S2" s="24" t="inlineStr">
        <is>
          <t>Plan Date</t>
        </is>
      </c>
      <c r="T2" s="24" t="inlineStr">
        <is>
          <t>Target Date</t>
        </is>
      </c>
      <c r="U2" s="25" t="inlineStr">
        <is>
          <t>Approve Date</t>
        </is>
      </c>
      <c r="V2" s="123" t="inlineStr">
        <is>
          <t>Start Date</t>
        </is>
      </c>
      <c r="W2" s="123" t="inlineStr">
        <is>
          <t>Finish Date</t>
        </is>
      </c>
      <c r="X2" s="148" t="n"/>
      <c r="Y2" s="147" t="n"/>
    </row>
    <row r="3">
      <c r="A3" s="149" t="n"/>
      <c r="B3" s="149" t="n"/>
      <c r="C3" s="149" t="n"/>
      <c r="D3" s="149" t="n"/>
      <c r="E3" s="149" t="n"/>
      <c r="F3" s="149" t="n"/>
      <c r="G3" s="149" t="n"/>
      <c r="H3" s="23" t="n"/>
      <c r="I3" s="44" t="n"/>
      <c r="J3" s="23" t="n"/>
      <c r="K3" s="23" t="n"/>
      <c r="L3" s="23" t="n"/>
      <c r="M3" s="23" t="n"/>
      <c r="N3" s="149" t="n"/>
      <c r="O3" s="24" t="n"/>
      <c r="P3" s="46" t="n"/>
      <c r="Q3" s="24" t="n"/>
      <c r="R3" s="24" t="n"/>
      <c r="S3" s="24" t="n"/>
      <c r="T3" s="24" t="n"/>
      <c r="U3" s="25" t="n"/>
      <c r="V3" s="149" t="n"/>
      <c r="W3" s="149" t="n"/>
      <c r="X3" s="150" t="n"/>
      <c r="Y3" s="149" t="n"/>
    </row>
    <row r="4" ht="15" customHeight="1">
      <c r="A4" s="10" t="n"/>
      <c r="B4" s="94" t="inlineStr">
        <is>
          <t>Phase #1</t>
        </is>
      </c>
      <c r="C4" s="131" t="inlineStr">
        <is>
          <t>SBP Mall Portal</t>
        </is>
      </c>
      <c r="D4" s="151" t="n"/>
      <c r="E4" s="3" t="n"/>
      <c r="F4" s="3" t="n"/>
      <c r="G4" s="3" t="n"/>
      <c r="H4" s="3" t="n"/>
      <c r="I4" s="45" t="n"/>
      <c r="J4" s="3" t="n"/>
      <c r="K4" s="3" t="n"/>
      <c r="L4" s="13" t="n"/>
      <c r="M4" s="13" t="n"/>
      <c r="N4" s="3" t="n"/>
      <c r="O4" s="3" t="n"/>
      <c r="P4" s="45" t="n"/>
      <c r="Q4" s="3" t="n"/>
      <c r="R4" s="3" t="n"/>
      <c r="S4" s="13" t="n"/>
      <c r="T4" s="13" t="n"/>
      <c r="U4" s="3" t="n"/>
      <c r="V4" s="3" t="n"/>
      <c r="W4" s="3" t="n"/>
      <c r="X4" s="3" t="n"/>
      <c r="Y4" s="35" t="n"/>
    </row>
    <row r="5" ht="24.75" customHeight="1">
      <c r="A5" s="3" t="n">
        <v>7</v>
      </c>
      <c r="B5" s="80" t="n"/>
      <c r="C5" s="7" t="n"/>
      <c r="D5" s="34" t="inlineStr">
        <is>
          <t>Authentication</t>
        </is>
      </c>
      <c r="E5" s="27" t="inlineStr">
        <is>
          <t>Link</t>
        </is>
      </c>
      <c r="F5" s="27" t="inlineStr">
        <is>
          <t>Link</t>
        </is>
      </c>
      <c r="G5" s="3" t="inlineStr">
        <is>
          <t>DEP</t>
        </is>
      </c>
      <c r="H5" s="22" t="inlineStr">
        <is>
          <t>Done</t>
        </is>
      </c>
      <c r="I5" s="47" t="n">
        <v>1</v>
      </c>
      <c r="J5" s="3">
        <f>IF(H5="Done","Done",
   IF(L5=TODAY(),"Due",
      IF(L5&lt;TODAY(),"Overdue",
         IF(AND(L5&gt;TODAY(),L5&lt;=TODAY()+5),"Upcoming","OnTrack"))))</f>
        <v/>
      </c>
      <c r="K5" s="3" t="inlineStr">
        <is>
          <t>Sithisak &lt;Nok&gt; J.</t>
        </is>
      </c>
      <c r="L5" s="13" t="n">
        <v>45898</v>
      </c>
      <c r="M5" s="13" t="n">
        <v>45901</v>
      </c>
      <c r="N5" s="13" t="n">
        <v>45901</v>
      </c>
      <c r="O5" s="22" t="inlineStr">
        <is>
          <t>Done</t>
        </is>
      </c>
      <c r="P5" s="47" t="n">
        <v>1</v>
      </c>
      <c r="Q5" s="3">
        <f>IF(O5="Not Start","Not Start",
   IF(AND(O5="Done",U5&gt;T5),"Done with Overdue",
      IF(O5="Done","Done",
         IF(T5=TODAY(),"Due",
            IF(T5&lt;TODAY(),"Overdue",
               IF(AND(T5&gt;TODAY(),T5&lt;=TODAY()+5),"Upcoming","On Track"))))))</f>
        <v/>
      </c>
      <c r="R5" s="3" t="inlineStr">
        <is>
          <t>Suphachai &lt;To&gt; S.</t>
        </is>
      </c>
      <c r="S5" s="13" t="n">
        <v>45905</v>
      </c>
      <c r="T5" s="13" t="n">
        <v>45905</v>
      </c>
      <c r="U5" s="13" t="n">
        <v>45931</v>
      </c>
      <c r="V5" s="13" t="n">
        <v>45918</v>
      </c>
      <c r="W5" s="13" t="n">
        <v>45989</v>
      </c>
      <c r="X5" s="50" t="inlineStr">
        <is>
          <t>18/09/2025 : เริ่ม Dev ในส่วนที่ทำได้ก่อน เนื่องจากทาง Solar ยังไม่ Feedback
01/10/2025 : Approved</t>
        </is>
      </c>
      <c r="Y5" s="35" t="n"/>
    </row>
    <row r="6" ht="50.25" customHeight="1">
      <c r="A6" s="3" t="n">
        <v>8</v>
      </c>
      <c r="B6" s="62" t="n"/>
      <c r="C6" s="7" t="n"/>
      <c r="D6" s="53" t="inlineStr">
        <is>
          <t>SIV</t>
        </is>
      </c>
      <c r="E6" s="27" t="inlineStr">
        <is>
          <t>Link</t>
        </is>
      </c>
      <c r="F6" s="27" t="inlineStr">
        <is>
          <t>Link</t>
        </is>
      </c>
      <c r="G6" s="3" t="inlineStr">
        <is>
          <t>DEP</t>
        </is>
      </c>
      <c r="H6" s="22" t="inlineStr">
        <is>
          <t>Done</t>
        </is>
      </c>
      <c r="I6" s="47" t="n">
        <v>1</v>
      </c>
      <c r="J6" s="3">
        <f>IF(H6="Done","Done",
   IF(L6=TODAY(),"Due",
      IF(L6&lt;TODAY(),"Overdue",
         IF(AND(L6&gt;TODAY(),L6&lt;=TODAY()+5),"Upcoming","OnTrack"))))</f>
        <v/>
      </c>
      <c r="K6" s="3" t="inlineStr">
        <is>
          <t>Sithisak &lt;Nok&gt; J.</t>
        </is>
      </c>
      <c r="L6" s="13" t="n">
        <v>45905</v>
      </c>
      <c r="M6" s="13" t="n">
        <v>45905</v>
      </c>
      <c r="N6" s="13" t="n">
        <v>45905</v>
      </c>
      <c r="O6" s="22" t="inlineStr">
        <is>
          <t>Done</t>
        </is>
      </c>
      <c r="P6" s="47" t="n">
        <v>1</v>
      </c>
      <c r="Q6" s="3">
        <f>IF(O6="Not Start","Not Start",
   IF(AND(O6="Done",U6&gt;T6),"Done with Overdue",
      IF(O6="Done","Done",
         IF(T6=TODAY(),"Due",
            IF(T6&lt;TODAY(),"Overdue",
               IF(AND(T6&gt;TODAY(),T6&lt;=TODAY()+5),"Upcoming","On Track"))))))</f>
        <v/>
      </c>
      <c r="R6" s="3" t="inlineStr">
        <is>
          <t>Suphachai &lt;To&gt; S.</t>
        </is>
      </c>
      <c r="S6" s="13" t="n">
        <v>45915</v>
      </c>
      <c r="T6" s="13" t="n">
        <v>45915</v>
      </c>
      <c r="U6" s="13" t="n">
        <v>45930</v>
      </c>
      <c r="V6" s="13" t="n">
        <v>45918</v>
      </c>
      <c r="W6" s="13" t="n">
        <v>45989</v>
      </c>
      <c r="X6" s="50" t="inlineStr">
        <is>
          <t>18/09/2025 : เริ่ม Dev ในส่วนที่ทำได้ก่อน เนื่องจากทาง Solar ยังไม่ Feedback
30/09/2025 : Approved &gt; มีความเห็นเสริมว่า
- เป็น Function ที่มี PII Data และออก internet ควรพิจาณาเรื่องการทำ Pen test ด้วย
- Table ใน function นี้ ควรรวบรวมเป็น  Database Design ภาพรวมด้วย</t>
        </is>
      </c>
      <c r="Y6" s="35" t="n"/>
    </row>
    <row r="7" ht="37.5" customHeight="1">
      <c r="A7" s="3" t="n">
        <v>9</v>
      </c>
      <c r="B7" s="62" t="n"/>
      <c r="C7" s="7" t="n"/>
      <c r="D7" s="31" t="inlineStr">
        <is>
          <t>SML</t>
        </is>
      </c>
      <c r="E7" s="27" t="inlineStr">
        <is>
          <t>Link</t>
        </is>
      </c>
      <c r="F7" s="27" t="inlineStr">
        <is>
          <t>Link</t>
        </is>
      </c>
      <c r="G7" s="3" t="inlineStr">
        <is>
          <t>DEP</t>
        </is>
      </c>
      <c r="H7" s="22" t="inlineStr">
        <is>
          <t>Done</t>
        </is>
      </c>
      <c r="I7" s="47" t="n">
        <v>1</v>
      </c>
      <c r="J7" s="3">
        <f>IF(H7="Done","Done",
   IF(L7=TODAY(),"Due",
      IF(L7&lt;TODAY(),"Overdue",
         IF(AND(L7&gt;TODAY(),L7&lt;=TODAY()+5),"Upcoming","OnTrack"))))</f>
        <v/>
      </c>
      <c r="K7" s="3" t="inlineStr">
        <is>
          <t>Sithisak &lt;Nok&gt; J.</t>
        </is>
      </c>
      <c r="L7" s="13" t="n">
        <v>45931</v>
      </c>
      <c r="M7" s="13" t="n">
        <v>45932</v>
      </c>
      <c r="N7" s="13" t="n">
        <v>45932</v>
      </c>
      <c r="O7" s="22" t="inlineStr">
        <is>
          <t>Done</t>
        </is>
      </c>
      <c r="P7" s="47" t="n">
        <v>1</v>
      </c>
      <c r="Q7" s="3">
        <f>IF(O7="Not Start","Not Start",
   IF(AND(O7="Done",U7&gt;T7),"Done with Overdue",
      IF(O7="Done","Done",
         IF(T7=TODAY(),"Due",
            IF(T7&lt;TODAY(),"Overdue",
               IF(AND(T7&gt;TODAY(),T7&lt;=TODAY()+5),"Upcoming","On Track"))))))</f>
        <v/>
      </c>
      <c r="R7" s="3" t="inlineStr">
        <is>
          <t>Suphachai &lt;To&gt; S.</t>
        </is>
      </c>
      <c r="S7" s="13" t="n">
        <v>45939</v>
      </c>
      <c r="T7" s="13" t="n">
        <v>45940</v>
      </c>
      <c r="U7" s="13" t="n">
        <v>45951</v>
      </c>
      <c r="V7" s="13" t="n">
        <v>45918</v>
      </c>
      <c r="W7" s="13" t="n">
        <v>45989</v>
      </c>
      <c r="X7" s="51" t="inlineStr">
        <is>
          <t>21/10/2025 : Approved
Remark :มีการขอให้คุณนกแก้ไข เอกสารเพื่อเพิ่มข้อมูล และ Review ที่ version : TSM-TEM-LLDD_SBP_MALL_Web-1.1.pdf</t>
        </is>
      </c>
      <c r="Y7" s="35" t="n"/>
    </row>
    <row r="8" ht="24.75" customHeight="1">
      <c r="A8" s="3" t="n">
        <v>10</v>
      </c>
      <c r="B8" s="62" t="n"/>
      <c r="C8" s="7" t="n"/>
      <c r="D8" s="31" t="inlineStr">
        <is>
          <t>SBPM</t>
        </is>
      </c>
      <c r="E8" s="27" t="inlineStr">
        <is>
          <t>Link</t>
        </is>
      </c>
      <c r="F8" s="27" t="inlineStr">
        <is>
          <t>Link</t>
        </is>
      </c>
      <c r="G8" s="3" t="inlineStr">
        <is>
          <t>DEP</t>
        </is>
      </c>
      <c r="H8" s="22" t="inlineStr">
        <is>
          <t>Done</t>
        </is>
      </c>
      <c r="I8" s="47" t="n">
        <v>1</v>
      </c>
      <c r="J8" s="3">
        <f>IF(H8="Done","Done",
   IF(L8=TODAY(),"Due",
      IF(L8&lt;TODAY(),"Overdue",
         IF(AND(L8&gt;TODAY(),L8&lt;=TODAY()+5),"Upcoming","OnTrack"))))</f>
        <v/>
      </c>
      <c r="K8" s="3" t="inlineStr">
        <is>
          <t>Sithisak &lt;Nok&gt; J.</t>
        </is>
      </c>
      <c r="L8" s="13" t="n">
        <v>45960</v>
      </c>
      <c r="M8" s="13" t="n">
        <v>45964</v>
      </c>
      <c r="N8" s="13" t="n">
        <v>45964</v>
      </c>
      <c r="O8" s="22" t="inlineStr">
        <is>
          <t>Done</t>
        </is>
      </c>
      <c r="P8" s="47" t="n">
        <v>1</v>
      </c>
      <c r="Q8" s="3">
        <f>IF(O8="Not Start","Not Start",
   IF(AND(O8="Done",U8&gt;T8),"Done with Overdue",
      IF(O8="Done","Done",
         IF(T8=TODAY(),"Due",
            IF(T8&lt;TODAY(),"Overdue",
               IF(AND(T8&gt;TODAY(),T8&lt;=TODAY()+5),"Upcoming","On Track"))))))</f>
        <v/>
      </c>
      <c r="R8" s="3" t="inlineStr">
        <is>
          <t>Suphachai &lt;To&gt; S.</t>
        </is>
      </c>
      <c r="S8" s="13" t="n">
        <v>45968</v>
      </c>
      <c r="T8" s="13" t="n">
        <v>45971</v>
      </c>
      <c r="U8" s="13" t="n">
        <v>45994</v>
      </c>
      <c r="V8" s="13" t="n">
        <v>45918</v>
      </c>
      <c r="W8" s="13" t="n">
        <v>45989</v>
      </c>
      <c r="X8" s="51" t="inlineStr">
        <is>
          <t>03/12/2025 : Approved
Remark :จะ review เรื่องการส่ง email ที่ email service ต่อ</t>
        </is>
      </c>
      <c r="Y8" s="35" t="n"/>
    </row>
    <row r="9" ht="15" customHeight="1">
      <c r="A9" s="3" t="n"/>
      <c r="B9" s="93" t="inlineStr">
        <is>
          <t>Phase #1</t>
        </is>
      </c>
      <c r="C9" s="131" t="inlineStr">
        <is>
          <t>4.1 SBP Operating Management (Store Performance/Statement)</t>
        </is>
      </c>
      <c r="D9" s="151" t="n"/>
      <c r="E9" s="3" t="n"/>
      <c r="F9" s="3" t="n"/>
      <c r="G9" s="3" t="n"/>
      <c r="H9" s="3" t="n"/>
      <c r="I9" s="45" t="n"/>
      <c r="J9" s="3" t="n"/>
      <c r="K9" s="3" t="n"/>
      <c r="L9" s="13" t="n"/>
      <c r="M9" s="13" t="n"/>
      <c r="N9" s="3" t="n"/>
      <c r="O9" s="3" t="n"/>
      <c r="P9" s="45" t="n"/>
      <c r="Q9" s="3" t="n"/>
      <c r="R9" s="3" t="n"/>
      <c r="S9" s="13" t="n"/>
      <c r="T9" s="13" t="n"/>
      <c r="U9" s="3" t="n"/>
      <c r="V9" s="3" t="n"/>
      <c r="W9" s="3" t="n"/>
      <c r="X9" s="3" t="n"/>
      <c r="Y9" s="35" t="n"/>
    </row>
    <row r="10" ht="15" customHeight="1">
      <c r="A10" s="3" t="n">
        <v>24</v>
      </c>
      <c r="B10" s="74" t="n"/>
      <c r="C10" s="131" t="n"/>
      <c r="D10" s="31" t="inlineStr">
        <is>
          <t>Integration (SAP)</t>
        </is>
      </c>
      <c r="E10" s="27" t="inlineStr">
        <is>
          <t>Link</t>
        </is>
      </c>
      <c r="F10" s="27" t="inlineStr">
        <is>
          <t>Link</t>
        </is>
      </c>
      <c r="G10" s="3" t="inlineStr">
        <is>
          <t>SAP</t>
        </is>
      </c>
      <c r="H10" s="22" t="inlineStr">
        <is>
          <t>Done</t>
        </is>
      </c>
      <c r="I10" s="47" t="n">
        <v>1</v>
      </c>
      <c r="J10" s="3">
        <f>IF(H10="Done","Done",
   IF(L10=TODAY(),"Due",
      IF(L10&lt;TODAY(),"Overdue",
         IF(AND(L10&gt;TODAY(),L10&lt;=TODAY()+5),"Upcoming","OnTrack"))))</f>
        <v/>
      </c>
      <c r="K10" s="19" t="inlineStr">
        <is>
          <t>Rungsima &lt;Namneung&gt; J.</t>
        </is>
      </c>
      <c r="L10" s="13" t="n">
        <v>45902</v>
      </c>
      <c r="M10" s="13" t="n">
        <v>45902</v>
      </c>
      <c r="N10" s="13" t="n">
        <v>45902</v>
      </c>
      <c r="O10" s="22" t="inlineStr">
        <is>
          <t>Done</t>
        </is>
      </c>
      <c r="P10" s="47" t="n">
        <v>1</v>
      </c>
      <c r="Q10" s="3">
        <f>IF(O10="Not Start","Not Start",
   IF(AND(O10="Done",U10&gt;T10),"Done with Overdue",
      IF(O10="Done","Done",
         IF(T10=TODAY(),"Due",
            IF(T10&lt;TODAY(),"Overdue",
               IF(AND(T10&gt;TODAY(),T10&lt;=TODAY()+5),"Upcoming","On Track"))))))</f>
        <v/>
      </c>
      <c r="R10" s="3" t="inlineStr">
        <is>
          <t>Suphachai &lt;To&gt; S.</t>
        </is>
      </c>
      <c r="S10" s="13" t="n">
        <v>45909</v>
      </c>
      <c r="T10" s="13" t="n">
        <v>45909</v>
      </c>
      <c r="U10" s="13" t="n">
        <v>45925</v>
      </c>
      <c r="V10" s="13" t="n">
        <v>45882</v>
      </c>
      <c r="W10" s="13" t="n">
        <v>45930</v>
      </c>
      <c r="X10" s="28" t="n"/>
      <c r="Y10" s="35" t="n"/>
    </row>
    <row r="11" ht="15" customHeight="1">
      <c r="A11" s="3" t="n">
        <v>25</v>
      </c>
      <c r="B11" s="74" t="n"/>
      <c r="C11" s="131" t="n"/>
      <c r="D11" s="31" t="inlineStr">
        <is>
          <t>Integration (STA)</t>
        </is>
      </c>
      <c r="E11" s="27" t="inlineStr">
        <is>
          <t>Link</t>
        </is>
      </c>
      <c r="F11" s="27" t="inlineStr">
        <is>
          <t>Link</t>
        </is>
      </c>
      <c r="G11" s="3" t="inlineStr">
        <is>
          <t>STA</t>
        </is>
      </c>
      <c r="H11" s="22" t="inlineStr">
        <is>
          <t>Done</t>
        </is>
      </c>
      <c r="I11" s="47" t="n">
        <v>1</v>
      </c>
      <c r="J11" s="3">
        <f>IF(H11="Done","Done",
   IF(L11=TODAY(),"Due",
      IF(L11&lt;TODAY(),"Overdue",
         IF(AND(L11&gt;TODAY(),L11&lt;=TODAY()+5),"Upcoming","OnTrack"))))</f>
        <v/>
      </c>
      <c r="K11" s="14" t="inlineStr">
        <is>
          <t>Sirikwan &lt;Tae&gt; S.</t>
        </is>
      </c>
      <c r="L11" s="13" t="n">
        <v>45884</v>
      </c>
      <c r="M11" s="13" t="n">
        <v>45884</v>
      </c>
      <c r="N11" s="13" t="n">
        <v>45884</v>
      </c>
      <c r="O11" s="22" t="inlineStr">
        <is>
          <t>Done</t>
        </is>
      </c>
      <c r="P11" s="47" t="n">
        <v>1</v>
      </c>
      <c r="Q11" s="3">
        <f>IF(O11="Not Start","Not Start",
   IF(AND(O11="Done",U11&gt;T11),"Done with Overdue",
      IF(O11="Done","Done",
         IF(T11=TODAY(),"Due",
            IF(T11&lt;TODAY(),"Overdue",
               IF(AND(T11&gt;TODAY(),T11&lt;=TODAY()+5),"Upcoming","On Track"))))))</f>
        <v/>
      </c>
      <c r="R11" s="3" t="inlineStr">
        <is>
          <t>Suphachai &lt;To&gt; S.</t>
        </is>
      </c>
      <c r="S11" s="13" t="n">
        <v>45897</v>
      </c>
      <c r="T11" s="13" t="n">
        <v>45897</v>
      </c>
      <c r="U11" s="13" t="n">
        <v>45923</v>
      </c>
      <c r="V11" s="13" t="n">
        <v>45870</v>
      </c>
      <c r="W11" s="13" t="n">
        <v>45930</v>
      </c>
      <c r="X11" s="28" t="n"/>
      <c r="Y11" s="35" t="n"/>
    </row>
    <row r="12" ht="50.25" customHeight="1">
      <c r="A12" s="3" t="n">
        <v>26</v>
      </c>
      <c r="B12" s="62" t="n"/>
      <c r="C12" s="7" t="n"/>
      <c r="D12" s="53" t="inlineStr">
        <is>
          <t>นำเข้าข้อมูล</t>
        </is>
      </c>
      <c r="E12" s="27" t="inlineStr">
        <is>
          <t>Link</t>
        </is>
      </c>
      <c r="F12" s="27" t="inlineStr">
        <is>
          <t>Link</t>
        </is>
      </c>
      <c r="G12" s="14" t="inlineStr">
        <is>
          <t>WHP</t>
        </is>
      </c>
      <c r="H12" s="22" t="inlineStr">
        <is>
          <t>Done</t>
        </is>
      </c>
      <c r="I12" s="47" t="n">
        <v>1</v>
      </c>
      <c r="J12" s="3">
        <f>IF(H12="Done","Done",
   IF(L12=TODAY(),"Due",
      IF(L12&lt;TODAY(),"Overdue",
         IF(AND(L12&gt;TODAY(),L12&lt;=TODAY()+5),"Upcoming","OnTrack"))))</f>
        <v/>
      </c>
      <c r="K12" s="30" t="inlineStr">
        <is>
          <t>Thitipa &lt;May&gt; P.</t>
        </is>
      </c>
      <c r="L12" s="13" t="n">
        <v>45926</v>
      </c>
      <c r="M12" s="42" t="n">
        <v>45929</v>
      </c>
      <c r="N12" s="42" t="n">
        <v>45929</v>
      </c>
      <c r="O12" s="22" t="inlineStr">
        <is>
          <t>Done</t>
        </is>
      </c>
      <c r="P12" s="47" t="n">
        <v>1</v>
      </c>
      <c r="Q12" s="3">
        <f>IF(O12="Not Start","Not Start",
   IF(AND(O12="Done",U12&gt;T12),"Done with Overdue",
      IF(O12="Done","Done",
         IF(T12=TODAY(),"Due",
            IF(T12&lt;TODAY(),"Overdue",
               IF(AND(T12&gt;TODAY(),T12&lt;=TODAY()+5),"Upcoming","On Track"))))))</f>
        <v/>
      </c>
      <c r="R12" s="3" t="inlineStr">
        <is>
          <t>Suphachai &lt;To&gt; S.</t>
        </is>
      </c>
      <c r="S12" s="13" t="n">
        <v>45933</v>
      </c>
      <c r="T12" s="13" t="n">
        <v>45937</v>
      </c>
      <c r="U12" s="13" t="n">
        <v>45932</v>
      </c>
      <c r="V12" s="13" t="n">
        <v>45901</v>
      </c>
      <c r="W12" s="13" t="n">
        <v>45950</v>
      </c>
      <c r="X12" s="51" t="inlineStr">
        <is>
          <t>30/09/2025 : Review detail design :ขอข้อมูลเพิ่ม
ขอข้อมูล Table design ที่จะนำข้อมูล insert ใน function นี้ หรือใส่รวมเป็นภาพใหญ่ก็ได้
ขอข้อมูล CMService ว่า Retry, Timeout ,handling อย่างไร
02/10/2025 : Approved</t>
        </is>
      </c>
      <c r="Y12" s="35" t="n"/>
    </row>
    <row r="13" ht="15" customHeight="1">
      <c r="A13" s="3" t="n">
        <v>27.1</v>
      </c>
      <c r="B13" s="62" t="n"/>
      <c r="C13" s="7" t="n"/>
      <c r="D13" s="32" t="inlineStr">
        <is>
          <t>SBP Statement #1</t>
        </is>
      </c>
      <c r="E13" s="27" t="inlineStr">
        <is>
          <t>Link</t>
        </is>
      </c>
      <c r="F13" s="27" t="inlineStr">
        <is>
          <t>Link</t>
        </is>
      </c>
      <c r="G13" s="14" t="inlineStr">
        <is>
          <t>WHP</t>
        </is>
      </c>
      <c r="H13" s="22" t="inlineStr">
        <is>
          <t>Done</t>
        </is>
      </c>
      <c r="I13" s="47" t="n">
        <v>1</v>
      </c>
      <c r="J13" s="3">
        <f>IF(H13="Done","Done",
   IF(L13=TODAY(),"Due",
      IF(L13&lt;TODAY(),"Overdue",
         IF(AND(L13&gt;TODAY(),L13&lt;=TODAY()+5),"Upcoming","OnTrack"))))</f>
        <v/>
      </c>
      <c r="K13" s="14" t="inlineStr">
        <is>
          <t>Thitipa &lt;May&gt; P.</t>
        </is>
      </c>
      <c r="L13" s="60" t="n">
        <v>45951</v>
      </c>
      <c r="M13" s="13" t="n">
        <v>45951</v>
      </c>
      <c r="N13" s="13" t="n">
        <v>45952</v>
      </c>
      <c r="O13" s="22" t="inlineStr">
        <is>
          <t>Done</t>
        </is>
      </c>
      <c r="P13" s="47" t="n">
        <v>1</v>
      </c>
      <c r="Q13" s="3">
        <f>IF(O13="Not Start","Not Start",
   IF(AND(O13="Done",U13&gt;T13),"Done with Overdue",
      IF(O13="Done","Done",
         IF(T13=TODAY(),"Due",
            IF(T13&lt;TODAY(),"Overdue",
               IF(AND(T13&gt;TODAY(),T13&lt;=TODAY()+5),"Upcoming","On Track"))))))</f>
        <v/>
      </c>
      <c r="R13" s="3" t="inlineStr">
        <is>
          <t>Suphachai &lt;To&gt; S.</t>
        </is>
      </c>
      <c r="S13" s="13" t="n">
        <v>45960</v>
      </c>
      <c r="T13" s="13" t="n">
        <v>45960</v>
      </c>
      <c r="U13" s="13" t="n">
        <v>45967</v>
      </c>
      <c r="V13" s="13" t="n">
        <v>45901</v>
      </c>
      <c r="W13" s="13" t="n">
        <v>45992</v>
      </c>
      <c r="X13" s="28" t="inlineStr">
        <is>
          <t>06/11/2025 : Approved</t>
        </is>
      </c>
      <c r="Y13" s="35" t="n"/>
    </row>
    <row r="14" ht="62.25" customFormat="1" customHeight="1" s="68">
      <c r="A14" s="3" t="n">
        <v>27.2</v>
      </c>
      <c r="B14" s="62" t="n"/>
      <c r="C14" s="64" t="n"/>
      <c r="D14" s="65" t="inlineStr">
        <is>
          <t>SBP Statement #2</t>
        </is>
      </c>
      <c r="E14" s="27" t="inlineStr">
        <is>
          <t>Link</t>
        </is>
      </c>
      <c r="F14" s="27" t="inlineStr">
        <is>
          <t>Link</t>
        </is>
      </c>
      <c r="G14" s="30" t="inlineStr">
        <is>
          <t>WHP</t>
        </is>
      </c>
      <c r="H14" s="22" t="inlineStr">
        <is>
          <t>Done</t>
        </is>
      </c>
      <c r="I14" s="47" t="n">
        <v>1</v>
      </c>
      <c r="J14" s="3">
        <f>IF(H14="Done","Done",
   IF(L14=TODAY(),"Due",
      IF(L14&lt;TODAY(),"Overdue",
         IF(AND(L14&gt;TODAY(),L14&lt;=TODAY()+5),"Upcoming","OnTrack"))))</f>
        <v/>
      </c>
      <c r="K14" s="66" t="inlineStr">
        <is>
          <t>Thitipa &lt;May&gt; P.</t>
        </is>
      </c>
      <c r="L14" s="63" t="n">
        <v>45960</v>
      </c>
      <c r="M14" s="13" t="n">
        <v>45959</v>
      </c>
      <c r="N14" s="13" t="n">
        <v>45960</v>
      </c>
      <c r="O14" s="22" t="inlineStr">
        <is>
          <t>Done</t>
        </is>
      </c>
      <c r="P14" s="47" t="n">
        <v>1</v>
      </c>
      <c r="Q14" s="3">
        <f>IF(O14="Not Start","Not Start",
   IF(AND(O14="Done",U14&gt;T14),"Done with Overdue",
      IF(O14="Done","Done",
         IF(T14=TODAY(),"Due",
            IF(T14&lt;TODAY(),"Overdue",
               IF(AND(T14&gt;TODAY(),T14&lt;=TODAY()+5),"Upcoming","On Track"))))))</f>
        <v/>
      </c>
      <c r="R14" s="3" t="inlineStr">
        <is>
          <t>Suphachai &lt;To&gt; S.</t>
        </is>
      </c>
      <c r="S14" s="13" t="n">
        <v>45966</v>
      </c>
      <c r="T14" s="13" t="n">
        <v>45967</v>
      </c>
      <c r="U14" s="13" t="n">
        <v>45967</v>
      </c>
      <c r="V14" s="13" t="n">
        <v>45901</v>
      </c>
      <c r="W14" s="13" t="n">
        <v>45992</v>
      </c>
      <c r="X14" s="50" t="inlineStr">
        <is>
          <t>06/11/2025 : Approved
ความเห็นเพิ่มเติม
อยากให้เพิ่มรายละเอียด mail server ที่ต้องใช้ในการส่ง email เนื่องจาก ปัจจุบันต้องไปใช้ Microsoft graph api แทน SMTP mail relay 
หรือ อาจ implement เป็น component กลางแยกออกไปใช้ร่วมกันกับ use case อื่นๆ ครับ</t>
        </is>
      </c>
      <c r="Y14" s="67" t="n"/>
    </row>
    <row r="15" ht="24.75" customHeight="1">
      <c r="A15" s="3" t="n">
        <v>28</v>
      </c>
      <c r="B15" s="62" t="n"/>
      <c r="C15" s="7" t="n"/>
      <c r="D15" s="32" t="inlineStr">
        <is>
          <t>SBP Performance</t>
        </is>
      </c>
      <c r="E15" s="27" t="inlineStr">
        <is>
          <t>Link</t>
        </is>
      </c>
      <c r="F15" s="27" t="inlineStr">
        <is>
          <t>Link</t>
        </is>
      </c>
      <c r="G15" s="14" t="inlineStr">
        <is>
          <t>WHP</t>
        </is>
      </c>
      <c r="H15" s="22" t="inlineStr">
        <is>
          <t>Done</t>
        </is>
      </c>
      <c r="I15" s="47" t="n">
        <v>1</v>
      </c>
      <c r="J15" s="3">
        <f>IF(H15="Done","Done",
   IF(L15=TODAY(),"Due",
      IF(L15&lt;TODAY(),"Overdue",
         IF(AND(L15&gt;TODAY(),L15&lt;=TODAY()+5),"Upcoming","OnTrack"))))</f>
        <v/>
      </c>
      <c r="K15" s="61" t="inlineStr">
        <is>
          <t>Thitipa &lt;May&gt; P.</t>
        </is>
      </c>
      <c r="L15" s="13" t="n">
        <v>45966</v>
      </c>
      <c r="M15" s="13" t="n">
        <v>45975</v>
      </c>
      <c r="N15" s="13" t="n">
        <v>45979</v>
      </c>
      <c r="O15" s="22" t="inlineStr">
        <is>
          <t>Done</t>
        </is>
      </c>
      <c r="P15" s="47" t="n">
        <v>1</v>
      </c>
      <c r="Q15" s="3">
        <f>IF(O15="Not Start","Not Start",
   IF(AND(O15="Done",U15&gt;T15),"Done with Overdue",
      IF(O15="Done","Done",
         IF(T15=TODAY(),"Due",
            IF(T15&lt;TODAY(),"Overdue",
               IF(AND(T15&gt;TODAY(),T15&lt;=TODAY()+5),"Upcoming","On Track"))))))</f>
        <v/>
      </c>
      <c r="R15" s="3" t="inlineStr">
        <is>
          <t>Suphachai &lt;To&gt; S.</t>
        </is>
      </c>
      <c r="S15" s="13" t="n">
        <v>45954</v>
      </c>
      <c r="T15" s="13" t="n">
        <v>45986</v>
      </c>
      <c r="U15" s="13" t="n">
        <v>45986</v>
      </c>
      <c r="V15" s="13" t="n">
        <v>45901</v>
      </c>
      <c r="W15" s="13" t="n">
        <v>45992</v>
      </c>
      <c r="X15" s="50" t="inlineStr">
        <is>
          <t>25/11/2025 : 
Solar มีคุยกับทาง Srevice  ในเบื้องต้นแล้ว อยู่ระหว่างส่งเอกสารให้ทาง Service</t>
        </is>
      </c>
      <c r="Y15" s="35" t="n"/>
    </row>
  </sheetData>
  <autoFilter ref="A1:Y19"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1" hiddenButton="0" showButton="0"/>
  </autoFilter>
  <mergeCells count="17">
    <mergeCell ref="N1:N3"/>
    <mergeCell ref="A1:A3"/>
    <mergeCell ref="D1:D3"/>
    <mergeCell ref="B1:B3"/>
    <mergeCell ref="Y1:Y3"/>
    <mergeCell ref="C1:C3"/>
    <mergeCell ref="G1:G3"/>
    <mergeCell ref="H1:M1"/>
    <mergeCell ref="F1:F3"/>
    <mergeCell ref="X1:X3"/>
    <mergeCell ref="V1:W1"/>
    <mergeCell ref="C9:D9"/>
    <mergeCell ref="V2:V3"/>
    <mergeCell ref="E1:E3"/>
    <mergeCell ref="O1:U1"/>
    <mergeCell ref="W2:W3"/>
    <mergeCell ref="C4:D4"/>
  </mergeCells>
  <conditionalFormatting sqref="J4:J15">
    <cfRule type="cellIs" priority="624" operator="equal" dxfId="3">
      <formula>"Overdue"</formula>
    </cfRule>
    <cfRule type="cellIs" priority="623" operator="equal">
      <formula>"OnTrack"</formula>
    </cfRule>
    <cfRule type="cellIs" priority="622" operator="equal" dxfId="2">
      <formula>"Upcoming"</formula>
    </cfRule>
    <cfRule type="cellIs" priority="621" operator="equal" dxfId="1">
      <formula>"Done"</formula>
    </cfRule>
    <cfRule type="cellIs" priority="560" operator="equal" dxfId="58">
      <formula>"Due"</formula>
    </cfRule>
  </conditionalFormatting>
  <conditionalFormatting sqref="J10">
    <cfRule type="cellIs" priority="608" operator="equal" dxfId="3">
      <formula>"Overdue"</formula>
    </cfRule>
    <cfRule type="cellIs" priority="607" operator="equal">
      <formula>"OnTrack"</formula>
    </cfRule>
    <cfRule type="cellIs" priority="606" operator="equal" dxfId="2">
      <formula>"Upcoming"</formula>
    </cfRule>
    <cfRule type="cellIs" priority="605" operator="equal" dxfId="1">
      <formula>"Done"</formula>
    </cfRule>
    <cfRule type="cellIs" priority="382" operator="equal" dxfId="3">
      <formula>"Overdue"</formula>
    </cfRule>
    <cfRule type="cellIs" priority="381" operator="equal">
      <formula>"OnTrack"</formula>
    </cfRule>
    <cfRule type="cellIs" priority="380" operator="equal" dxfId="2">
      <formula>"Upcoming"</formula>
    </cfRule>
    <cfRule type="cellIs" priority="379" operator="equal" dxfId="1">
      <formula>"Done"</formula>
    </cfRule>
  </conditionalFormatting>
  <conditionalFormatting sqref="J11">
    <cfRule type="cellIs" priority="604" operator="equal" dxfId="3">
      <formula>"Overdue"</formula>
    </cfRule>
    <cfRule type="cellIs" priority="603" operator="equal">
      <formula>"OnTrack"</formula>
    </cfRule>
    <cfRule type="cellIs" priority="602" operator="equal" dxfId="2">
      <formula>"Upcoming"</formula>
    </cfRule>
    <cfRule type="cellIs" priority="601" operator="equal" dxfId="1">
      <formula>"Done"</formula>
    </cfRule>
    <cfRule type="cellIs" priority="378" operator="equal" dxfId="3">
      <formula>"Overdue"</formula>
    </cfRule>
    <cfRule type="cellIs" priority="377" operator="equal">
      <formula>"OnTrack"</formula>
    </cfRule>
    <cfRule type="cellIs" priority="376" operator="equal" dxfId="2">
      <formula>"Upcoming"</formula>
    </cfRule>
    <cfRule type="cellIs" priority="375" operator="equal" dxfId="1">
      <formula>"Done"</formula>
    </cfRule>
  </conditionalFormatting>
  <conditionalFormatting sqref="J12">
    <cfRule type="cellIs" priority="600" operator="equal" dxfId="3">
      <formula>"Overdue"</formula>
    </cfRule>
    <cfRule type="cellIs" priority="599" operator="equal">
      <formula>"OnTrack"</formula>
    </cfRule>
    <cfRule type="cellIs" priority="598" operator="equal" dxfId="2">
      <formula>"Upcoming"</formula>
    </cfRule>
    <cfRule type="cellIs" priority="597" operator="equal" dxfId="1">
      <formula>"Done"</formula>
    </cfRule>
  </conditionalFormatting>
  <conditionalFormatting sqref="J13:J14">
    <cfRule type="cellIs" priority="596" operator="equal" dxfId="3">
      <formula>"Overdue"</formula>
    </cfRule>
    <cfRule type="cellIs" priority="595" operator="equal">
      <formula>"OnTrack"</formula>
    </cfRule>
    <cfRule type="cellIs" priority="594" operator="equal" dxfId="2">
      <formula>"Upcoming"</formula>
    </cfRule>
    <cfRule type="cellIs" priority="593" operator="equal" dxfId="1">
      <formula>"Done"</formula>
    </cfRule>
  </conditionalFormatting>
  <conditionalFormatting sqref="J15">
    <cfRule type="cellIs" priority="592" operator="equal" dxfId="3">
      <formula>"Overdue"</formula>
    </cfRule>
    <cfRule type="cellIs" priority="591" operator="equal">
      <formula>"OnTrack"</formula>
    </cfRule>
    <cfRule type="cellIs" priority="590" operator="equal" dxfId="2">
      <formula>"Upcoming"</formula>
    </cfRule>
    <cfRule type="cellIs" priority="589" operator="equal" dxfId="1">
      <formula>"Done"</formula>
    </cfRule>
  </conditionalFormatting>
  <conditionalFormatting sqref="J5">
    <cfRule type="cellIs" priority="434" operator="equal" dxfId="3">
      <formula>"Overdue"</formula>
    </cfRule>
    <cfRule type="cellIs" priority="433" operator="equal">
      <formula>"OnTrack"</formula>
    </cfRule>
    <cfRule type="cellIs" priority="432" operator="equal" dxfId="2">
      <formula>"Upcoming"</formula>
    </cfRule>
    <cfRule type="cellIs" priority="431" operator="equal" dxfId="1">
      <formula>"Done"</formula>
    </cfRule>
  </conditionalFormatting>
  <conditionalFormatting sqref="J6">
    <cfRule type="cellIs" priority="430" operator="equal" dxfId="3">
      <formula>"Overdue"</formula>
    </cfRule>
    <cfRule type="cellIs" priority="429" operator="equal">
      <formula>"OnTrack"</formula>
    </cfRule>
    <cfRule type="cellIs" priority="428" operator="equal" dxfId="2">
      <formula>"Upcoming"</formula>
    </cfRule>
    <cfRule type="cellIs" priority="427" operator="equal" dxfId="1">
      <formula>"Done"</formula>
    </cfRule>
  </conditionalFormatting>
  <conditionalFormatting sqref="J7">
    <cfRule type="cellIs" priority="426" operator="equal" dxfId="3">
      <formula>"Overdue"</formula>
    </cfRule>
    <cfRule type="cellIs" priority="425" operator="equal">
      <formula>"OnTrack"</formula>
    </cfRule>
    <cfRule type="cellIs" priority="424" operator="equal" dxfId="2">
      <formula>"Upcoming"</formula>
    </cfRule>
    <cfRule type="cellIs" priority="423" operator="equal" dxfId="1">
      <formula>"Done"</formula>
    </cfRule>
  </conditionalFormatting>
  <conditionalFormatting sqref="J8">
    <cfRule type="cellIs" priority="422" operator="equal" dxfId="3">
      <formula>"Overdue"</formula>
    </cfRule>
    <cfRule type="cellIs" priority="421" operator="equal">
      <formula>"OnTrack"</formula>
    </cfRule>
    <cfRule type="cellIs" priority="420" operator="equal" dxfId="2">
      <formula>"Upcoming"</formula>
    </cfRule>
    <cfRule type="cellIs" priority="419" operator="equal" dxfId="1">
      <formula>"Done"</formula>
    </cfRule>
  </conditionalFormatting>
  <conditionalFormatting sqref="Q5">
    <cfRule type="cellIs" priority="373" operator="equal" dxfId="3">
      <formula>"Overdue"</formula>
    </cfRule>
    <cfRule type="cellIs" priority="372" operator="equal">
      <formula>"OnTrack"</formula>
    </cfRule>
    <cfRule type="cellIs" priority="371" operator="equal" dxfId="2">
      <formula>"Upcoming"</formula>
    </cfRule>
    <cfRule type="cellIs" priority="370" operator="equal" dxfId="1">
      <formula>"Done"</formula>
    </cfRule>
    <cfRule type="cellIs" priority="369" operator="equal" dxfId="0">
      <formula>"Done with Overdue"</formula>
    </cfRule>
  </conditionalFormatting>
  <conditionalFormatting sqref="Q6">
    <cfRule type="cellIs" priority="368" operator="equal" dxfId="3">
      <formula>"Overdue"</formula>
    </cfRule>
    <cfRule type="cellIs" priority="367" operator="equal">
      <formula>"OnTrack"</formula>
    </cfRule>
    <cfRule type="cellIs" priority="366" operator="equal" dxfId="2">
      <formula>"Upcoming"</formula>
    </cfRule>
    <cfRule type="cellIs" priority="365" operator="equal" dxfId="1">
      <formula>"Done"</formula>
    </cfRule>
    <cfRule type="cellIs" priority="364" operator="equal" dxfId="0">
      <formula>"Done with Overdue"</formula>
    </cfRule>
  </conditionalFormatting>
  <conditionalFormatting sqref="Q7">
    <cfRule type="cellIs" priority="363" operator="equal" dxfId="3">
      <formula>"Overdue"</formula>
    </cfRule>
    <cfRule type="cellIs" priority="362" operator="equal">
      <formula>"OnTrack"</formula>
    </cfRule>
    <cfRule type="cellIs" priority="361" operator="equal" dxfId="2">
      <formula>"Upcoming"</formula>
    </cfRule>
    <cfRule type="cellIs" priority="360" operator="equal" dxfId="1">
      <formula>"Done"</formula>
    </cfRule>
    <cfRule type="cellIs" priority="359" operator="equal" dxfId="0">
      <formula>"Done with Overdue"</formula>
    </cfRule>
  </conditionalFormatting>
  <conditionalFormatting sqref="Q8">
    <cfRule type="cellIs" priority="358" operator="equal" dxfId="3">
      <formula>"Overdue"</formula>
    </cfRule>
    <cfRule type="cellIs" priority="357" operator="equal">
      <formula>"OnTrack"</formula>
    </cfRule>
    <cfRule type="cellIs" priority="356" operator="equal" dxfId="2">
      <formula>"Upcoming"</formula>
    </cfRule>
    <cfRule type="cellIs" priority="355" operator="equal" dxfId="1">
      <formula>"Done"</formula>
    </cfRule>
    <cfRule type="cellIs" priority="354" operator="equal" dxfId="0">
      <formula>"Done with Overdue"</formula>
    </cfRule>
  </conditionalFormatting>
  <conditionalFormatting sqref="Q10">
    <cfRule type="cellIs" priority="293" operator="equal" dxfId="3">
      <formula>"Overdue"</formula>
    </cfRule>
    <cfRule type="cellIs" priority="292" operator="equal">
      <formula>"OnTrack"</formula>
    </cfRule>
    <cfRule type="cellIs" priority="291" operator="equal" dxfId="2">
      <formula>"Upcoming"</formula>
    </cfRule>
    <cfRule type="cellIs" priority="290" operator="equal" dxfId="1">
      <formula>"Done"</formula>
    </cfRule>
    <cfRule type="cellIs" priority="289" operator="equal" dxfId="0">
      <formula>"Done with Overdue"</formula>
    </cfRule>
  </conditionalFormatting>
  <conditionalFormatting sqref="Q11">
    <cfRule type="cellIs" priority="288" operator="equal" dxfId="3">
      <formula>"Overdue"</formula>
    </cfRule>
    <cfRule type="cellIs" priority="287" operator="equal">
      <formula>"OnTrack"</formula>
    </cfRule>
    <cfRule type="cellIs" priority="286" operator="equal" dxfId="2">
      <formula>"Upcoming"</formula>
    </cfRule>
    <cfRule type="cellIs" priority="285" operator="equal" dxfId="1">
      <formula>"Done"</formula>
    </cfRule>
    <cfRule type="cellIs" priority="284" operator="equal" dxfId="0">
      <formula>"Done with Overdue"</formula>
    </cfRule>
  </conditionalFormatting>
  <conditionalFormatting sqref="Q12">
    <cfRule type="cellIs" priority="283" operator="equal" dxfId="3">
      <formula>"Overdue"</formula>
    </cfRule>
    <cfRule type="cellIs" priority="282" operator="equal">
      <formula>"OnTrack"</formula>
    </cfRule>
    <cfRule type="cellIs" priority="281" operator="equal" dxfId="2">
      <formula>"Upcoming"</formula>
    </cfRule>
    <cfRule type="cellIs" priority="280" operator="equal" dxfId="1">
      <formula>"Done"</formula>
    </cfRule>
    <cfRule type="cellIs" priority="279" operator="equal" dxfId="0">
      <formula>"Done with Overdue"</formula>
    </cfRule>
  </conditionalFormatting>
  <conditionalFormatting sqref="Q13">
    <cfRule type="cellIs" priority="278" operator="equal" dxfId="3">
      <formula>"Overdue"</formula>
    </cfRule>
    <cfRule type="cellIs" priority="277" operator="equal">
      <formula>"OnTrack"</formula>
    </cfRule>
    <cfRule type="cellIs" priority="276" operator="equal" dxfId="2">
      <formula>"Upcoming"</formula>
    </cfRule>
    <cfRule type="cellIs" priority="275" operator="equal" dxfId="1">
      <formula>"Done"</formula>
    </cfRule>
    <cfRule type="cellIs" priority="274" operator="equal" dxfId="0">
      <formula>"Done with Overdue"</formula>
    </cfRule>
  </conditionalFormatting>
  <conditionalFormatting sqref="Q14">
    <cfRule type="cellIs" priority="273" operator="equal" dxfId="3">
      <formula>"Overdue"</formula>
    </cfRule>
    <cfRule type="cellIs" priority="272" operator="equal">
      <formula>"OnTrack"</formula>
    </cfRule>
    <cfRule type="cellIs" priority="271" operator="equal" dxfId="2">
      <formula>"Upcoming"</formula>
    </cfRule>
    <cfRule type="cellIs" priority="270" operator="equal" dxfId="1">
      <formula>"Done"</formula>
    </cfRule>
    <cfRule type="cellIs" priority="269" operator="equal" dxfId="0">
      <formula>"Done with Overdue"</formula>
    </cfRule>
  </conditionalFormatting>
  <conditionalFormatting sqref="Q15">
    <cfRule type="cellIs" priority="268" operator="equal" dxfId="3">
      <formula>"Overdue"</formula>
    </cfRule>
    <cfRule type="cellIs" priority="267" operator="equal">
      <formula>"OnTrack"</formula>
    </cfRule>
    <cfRule type="cellIs" priority="266" operator="equal" dxfId="2">
      <formula>"Upcoming"</formula>
    </cfRule>
    <cfRule type="cellIs" priority="265" operator="equal" dxfId="1">
      <formula>"Done"</formula>
    </cfRule>
    <cfRule type="cellIs" priority="264" operator="equal" dxfId="0">
      <formula>"Done with Overdue"</formula>
    </cfRule>
  </conditionalFormatting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3" sqref="D13"/>
    </sheetView>
  </sheetViews>
  <sheetFormatPr baseColWidth="8" defaultRowHeight="15"/>
  <sheetData>
    <row r="1">
      <c r="A1" t="inlineStr">
        <is>
          <t>Stat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Napat Bunsomboon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2026-07-21T09:15:44Z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0x01010013B4E8B1A11AA64886BCA2B61DD64E48</vt:lpwstr>
  </property>
  <property name="MediaServiceImageTags" fmtid="{D5CDD505-2E9C-101B-9397-08002B2CF9AE}" pid="3">
    <vt:lpwstr xmlns:vt="http://schemas.openxmlformats.org/officeDocument/2006/docPropsVTypes"/>
  </property>
</Properties>
</file>